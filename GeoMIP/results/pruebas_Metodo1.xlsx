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Luz Enith\Desktop\Doctorado\Tesis\AyDProyectos\Entregas 2025_1\EntregaFinal\Vane_Andres\"/>
    </mc:Choice>
  </mc:AlternateContent>
  <xr:revisionPtr revIDLastSave="0" documentId="13_ncr:1_{DD2D3B17-929C-4D2C-B482-E88D43F8FCD1}" xr6:coauthVersionLast="47" xr6:coauthVersionMax="47" xr10:uidLastSave="{00000000-0000-0000-0000-000000000000}"/>
  <bookViews>
    <workbookView xWindow="-28920" yWindow="-3285" windowWidth="29040" windowHeight="15840" firstSheet="4" activeTab="6" xr2:uid="{00000000-000D-0000-FFFF-FFFF00000000}"/>
  </bookViews>
  <sheets>
    <sheet name="10 elementos" sheetId="1" r:id="rId1"/>
    <sheet name="15A elementos" sheetId="2" r:id="rId2"/>
    <sheet name="15B elementos" sheetId="3" r:id="rId3"/>
    <sheet name="20elementos" sheetId="4" r:id="rId4"/>
    <sheet name="21elementos" sheetId="6" r:id="rId5"/>
    <sheet name="22 elementos" sheetId="5" r:id="rId6"/>
    <sheet name="23elementos" sheetId="7" r:id="rId7"/>
  </sheets>
  <calcPr calcId="181029"/>
  <extLst>
    <ext uri="GoogleSheetsCustomDataVersion2">
      <go:sheetsCustomData xmlns:go="http://customooxmlschemas.google.com/" r:id="rId11" roundtripDataChecksum="/aCwx0w/u07WXUb+8IIcgvD2aOIKO2Z975UZRKrqTvU="/>
    </ext>
  </extLst>
</workbook>
</file>

<file path=xl/calcChain.xml><?xml version="1.0" encoding="utf-8"?>
<calcChain xmlns="http://schemas.openxmlformats.org/spreadsheetml/2006/main">
  <c r="L54" i="4" l="1"/>
  <c r="M53" i="4"/>
  <c r="K53" i="4"/>
  <c r="M52" i="4"/>
  <c r="K52" i="4"/>
  <c r="M51" i="4"/>
  <c r="K51" i="4"/>
  <c r="M50" i="4"/>
  <c r="K50" i="4"/>
  <c r="M49" i="4"/>
  <c r="K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M40" i="4"/>
  <c r="K40" i="4"/>
  <c r="M39" i="4"/>
  <c r="K39" i="4"/>
  <c r="M38" i="4"/>
  <c r="K38" i="4"/>
  <c r="M37" i="4"/>
  <c r="K37" i="4"/>
  <c r="M36" i="4"/>
  <c r="K36" i="4"/>
  <c r="M35" i="4"/>
  <c r="K35" i="4"/>
  <c r="M34" i="4"/>
  <c r="K34" i="4"/>
  <c r="M33" i="4"/>
  <c r="K33" i="4"/>
  <c r="M32" i="4"/>
  <c r="K32" i="4"/>
  <c r="M31" i="4"/>
  <c r="K31" i="4"/>
  <c r="M30" i="4"/>
  <c r="K30" i="4"/>
  <c r="M29" i="4"/>
  <c r="K29" i="4"/>
  <c r="M28" i="4"/>
  <c r="K28" i="4"/>
  <c r="M27" i="4"/>
  <c r="K27" i="4"/>
  <c r="M26" i="4"/>
  <c r="K26" i="4"/>
  <c r="M25" i="4"/>
  <c r="K25" i="4"/>
  <c r="M24" i="4"/>
  <c r="K24" i="4"/>
  <c r="M23" i="4"/>
  <c r="K23" i="4"/>
  <c r="M22" i="4"/>
  <c r="K22" i="4"/>
  <c r="M21" i="4"/>
  <c r="K21" i="4"/>
  <c r="M20" i="4"/>
  <c r="K20" i="4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M12" i="4"/>
  <c r="K12" i="4"/>
  <c r="M11" i="4"/>
  <c r="K11" i="4"/>
  <c r="M10" i="4"/>
  <c r="K10" i="4"/>
  <c r="M9" i="4"/>
  <c r="K9" i="4"/>
  <c r="M8" i="4"/>
  <c r="K8" i="4"/>
  <c r="M7" i="4"/>
  <c r="K7" i="4"/>
  <c r="M6" i="4"/>
  <c r="K6" i="4"/>
  <c r="M5" i="4"/>
  <c r="K5" i="4"/>
  <c r="M4" i="4"/>
  <c r="M54" i="4" s="1"/>
  <c r="K4" i="4"/>
  <c r="L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K42" i="3"/>
  <c r="M41" i="3"/>
  <c r="K41" i="3"/>
  <c r="M40" i="3"/>
  <c r="K40" i="3"/>
  <c r="M39" i="3"/>
  <c r="K39" i="3"/>
  <c r="M38" i="3"/>
  <c r="K38" i="3"/>
  <c r="M37" i="3"/>
  <c r="K37" i="3"/>
  <c r="M36" i="3"/>
  <c r="K36" i="3"/>
  <c r="M35" i="3"/>
  <c r="K35" i="3"/>
  <c r="M34" i="3"/>
  <c r="K34" i="3"/>
  <c r="M33" i="3"/>
  <c r="K33" i="3"/>
  <c r="M32" i="3"/>
  <c r="K32" i="3"/>
  <c r="M31" i="3"/>
  <c r="K31" i="3"/>
  <c r="M30" i="3"/>
  <c r="K30" i="3"/>
  <c r="M29" i="3"/>
  <c r="K29" i="3"/>
  <c r="M28" i="3"/>
  <c r="K28" i="3"/>
  <c r="M27" i="3"/>
  <c r="K27" i="3"/>
  <c r="M26" i="3"/>
  <c r="K26" i="3"/>
  <c r="M25" i="3"/>
  <c r="K25" i="3"/>
  <c r="M24" i="3"/>
  <c r="K24" i="3"/>
  <c r="M23" i="3"/>
  <c r="K23" i="3"/>
  <c r="M22" i="3"/>
  <c r="K22" i="3"/>
  <c r="M21" i="3"/>
  <c r="K21" i="3"/>
  <c r="M20" i="3"/>
  <c r="K20" i="3"/>
  <c r="M19" i="3"/>
  <c r="K19" i="3"/>
  <c r="M18" i="3"/>
  <c r="K18" i="3"/>
  <c r="M17" i="3"/>
  <c r="K17" i="3"/>
  <c r="M16" i="3"/>
  <c r="K16" i="3"/>
  <c r="M15" i="3"/>
  <c r="K15" i="3"/>
  <c r="M14" i="3"/>
  <c r="K14" i="3"/>
  <c r="M13" i="3"/>
  <c r="K13" i="3"/>
  <c r="M12" i="3"/>
  <c r="K12" i="3"/>
  <c r="M11" i="3"/>
  <c r="K11" i="3"/>
  <c r="M10" i="3"/>
  <c r="K10" i="3"/>
  <c r="M9" i="3"/>
  <c r="K9" i="3"/>
  <c r="M8" i="3"/>
  <c r="K8" i="3"/>
  <c r="M7" i="3"/>
  <c r="K7" i="3"/>
  <c r="M6" i="3"/>
  <c r="K6" i="3"/>
  <c r="M5" i="3"/>
  <c r="K5" i="3"/>
  <c r="M4" i="3"/>
  <c r="K4" i="3"/>
  <c r="M3" i="3"/>
  <c r="M53" i="3" s="1"/>
  <c r="K3" i="3"/>
  <c r="L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M45" i="2"/>
  <c r="K45" i="2"/>
  <c r="M44" i="2"/>
  <c r="K44" i="2"/>
  <c r="M43" i="2"/>
  <c r="K43" i="2"/>
  <c r="M42" i="2"/>
  <c r="K42" i="2"/>
  <c r="M41" i="2"/>
  <c r="K41" i="2"/>
  <c r="M40" i="2"/>
  <c r="K40" i="2"/>
  <c r="M39" i="2"/>
  <c r="K39" i="2"/>
  <c r="M38" i="2"/>
  <c r="K38" i="2"/>
  <c r="M37" i="2"/>
  <c r="K37" i="2"/>
  <c r="M36" i="2"/>
  <c r="K36" i="2"/>
  <c r="M35" i="2"/>
  <c r="K35" i="2"/>
  <c r="M34" i="2"/>
  <c r="K34" i="2"/>
  <c r="M33" i="2"/>
  <c r="K33" i="2"/>
  <c r="M32" i="2"/>
  <c r="K32" i="2"/>
  <c r="M31" i="2"/>
  <c r="K31" i="2"/>
  <c r="M30" i="2"/>
  <c r="K30" i="2"/>
  <c r="M29" i="2"/>
  <c r="K29" i="2"/>
  <c r="M28" i="2"/>
  <c r="K28" i="2"/>
  <c r="M27" i="2"/>
  <c r="K27" i="2"/>
  <c r="M26" i="2"/>
  <c r="K26" i="2"/>
  <c r="M25" i="2"/>
  <c r="K25" i="2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M17" i="2"/>
  <c r="K17" i="2"/>
  <c r="M16" i="2"/>
  <c r="K16" i="2"/>
  <c r="M15" i="2"/>
  <c r="K15" i="2"/>
  <c r="M14" i="2"/>
  <c r="K14" i="2"/>
  <c r="M13" i="2"/>
  <c r="K13" i="2"/>
  <c r="M12" i="2"/>
  <c r="K12" i="2"/>
  <c r="M11" i="2"/>
  <c r="K11" i="2"/>
  <c r="M10" i="2"/>
  <c r="K10" i="2"/>
  <c r="M9" i="2"/>
  <c r="K9" i="2"/>
  <c r="M8" i="2"/>
  <c r="K8" i="2"/>
  <c r="M7" i="2"/>
  <c r="K7" i="2"/>
  <c r="M6" i="2"/>
  <c r="K6" i="2"/>
  <c r="M5" i="2"/>
  <c r="K5" i="2"/>
  <c r="M4" i="2"/>
  <c r="K4" i="2"/>
  <c r="M3" i="2"/>
  <c r="M53" i="2" s="1"/>
  <c r="K3" i="2"/>
  <c r="K53" i="2" s="1"/>
  <c r="J52" i="1"/>
  <c r="H52" i="1"/>
  <c r="J51" i="1"/>
  <c r="H51" i="1"/>
  <c r="J50" i="1"/>
  <c r="H50" i="1"/>
  <c r="J49" i="1"/>
  <c r="H49" i="1"/>
  <c r="J48" i="1"/>
  <c r="H48" i="1"/>
  <c r="J47" i="1"/>
  <c r="H47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J35" i="1"/>
  <c r="H35" i="1"/>
  <c r="J34" i="1"/>
  <c r="H34" i="1"/>
  <c r="J33" i="1"/>
  <c r="H33" i="1"/>
  <c r="J32" i="1"/>
  <c r="H32" i="1"/>
  <c r="J31" i="1"/>
  <c r="H31" i="1"/>
  <c r="J30" i="1"/>
  <c r="H30" i="1"/>
  <c r="J29" i="1"/>
  <c r="H29" i="1"/>
  <c r="J28" i="1"/>
  <c r="H28" i="1"/>
  <c r="J27" i="1"/>
  <c r="H27" i="1"/>
  <c r="J26" i="1"/>
  <c r="H26" i="1"/>
  <c r="J25" i="1"/>
  <c r="H25" i="1"/>
  <c r="J24" i="1"/>
  <c r="H24" i="1"/>
  <c r="J23" i="1"/>
  <c r="H23" i="1"/>
  <c r="J22" i="1"/>
  <c r="H22" i="1"/>
  <c r="J21" i="1"/>
  <c r="H21" i="1"/>
  <c r="J20" i="1"/>
  <c r="H20" i="1"/>
  <c r="J19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  <c r="K54" i="4" l="1"/>
  <c r="K53" i="3"/>
</calcChain>
</file>

<file path=xl/sharedStrings.xml><?xml version="1.0" encoding="utf-8"?>
<sst xmlns="http://schemas.openxmlformats.org/spreadsheetml/2006/main" count="810" uniqueCount="628">
  <si>
    <t>Resultados Pyphi</t>
  </si>
  <si>
    <t>Analisis de error y precision</t>
  </si>
  <si>
    <t>rendimiento temporal</t>
  </si>
  <si>
    <t>Subsistema</t>
  </si>
  <si>
    <t>Particion</t>
  </si>
  <si>
    <t>Perdida</t>
  </si>
  <si>
    <t>Tiempo</t>
  </si>
  <si>
    <t>Particion5</t>
  </si>
  <si>
    <t>Perdida6</t>
  </si>
  <si>
    <t>Tiempo7</t>
  </si>
  <si>
    <t>Tiempo Total</t>
  </si>
  <si>
    <t>error relativo</t>
  </si>
  <si>
    <t>tasa de acierto</t>
  </si>
  <si>
    <t xml:space="preserve">speedup </t>
  </si>
  <si>
    <t>ABCDEFGHIJ_{t+1}|ABCDEFGHIJ_{t}</t>
  </si>
  <si>
    <t>[[['I'],['∅']],[['A','B','C','D','E','F','G','H','J'],['a','b','c','d','e','f','g','h','i','j']]]</t>
  </si>
  <si>
    <t>ABCDEFGHIJ_{t+1}|ABCDEFGHI_{t}</t>
  </si>
  <si>
    <t>[[['G'],
['∅']],
[['A','B','C','D','E','F','H','I','J'],
['a','b','c','d','e','f','g','h','i']]]</t>
  </si>
  <si>
    <t>[[['G'],['∅']],[['A','B','C','D','E','F','H','I','J'],['a','b','c','d','e','f','g','h','i']]]</t>
  </si>
  <si>
    <t>ABCDEFGHIJ_{t+1}|BCDEFGHIJ_{t}</t>
  </si>
  <si>
    <t>[[['G'],
['∅']],
[['A','B','C','D','E','F','H','I','J'],
['b','c','d','e','f','g','h','i','j']]]</t>
  </si>
  <si>
    <t>[[['G'],['∅']],[['A','B','C','D','E','F','H','I','J'],['c','d','e','f','g','h','i','j']]]</t>
  </si>
  <si>
    <t>ABCDEFGHI_{t+1}|ABCDEFGHIJ_{t}</t>
  </si>
  <si>
    <t>[[['I'],
['∅']],
[['A','B','C','D','E','F','G','H'],
['a','b','c','d','e','f','g','h','i','j']]]</t>
  </si>
  <si>
    <t>[[['I'],['∅']],[['A','B','C','D','E','F','G','H'],['a','b','c','d','e','f','g','h','i','j']]]</t>
  </si>
  <si>
    <t>BCDEFGHIJ_{t+1}|ABCDEFGHIJ_{t}</t>
  </si>
  <si>
    <t>[[['I'],
['∅']],
[['B','C','D','E','F','G','H','J'],
['a','b','c','d','e','f','g','h','i','j']]]</t>
  </si>
  <si>
    <t>[[['I'],['∅']],[['B','C','D','E','F','G','H','J'],['a','b','c','d','e','f','g','h','i','j']]]</t>
  </si>
  <si>
    <t>ABCDEFGHIJ_{t+1}|BCDEFGHI_{t}</t>
  </si>
  <si>
    <t>[[['B'],
['∅']],
[['A','C','D','E','F','G','H','I','J'],
['b','c','d','e','f','g','h','i']]]</t>
  </si>
  <si>
    <t>[[['H'],['∅']],[['A','B','C','D','E','F','G','I','J'],['c','d','e','f','g','h','i']]]</t>
  </si>
  <si>
    <t>ABCDEFGHI_{t+1}|ABCDEFGHI_{t}</t>
  </si>
  <si>
    <t>[[['G'],
['∅']],
[['A','B','C','D','E','F','H','I'],
['a','b','c','d','e','f','g','h','i']]]</t>
  </si>
  <si>
    <t>[[['G'],['∅']],[['A','B','C','D','E','F','H','I'],['a','b','c','d','e','f','g','h','i']]]</t>
  </si>
  <si>
    <t>ABCDEFGHI_{t+1}|BCDEFGHIJ_{t}</t>
  </si>
  <si>
    <t>[[['G'],
['∅']],
[['A','B','C','D','E','F','H','I'],
['b','c','d','e','f','g','h','i','j']]]</t>
  </si>
  <si>
    <t>[[['G'],['∅']],[['A','B','C','D','E','F','H','I'],['c','d','e','f','g','h','i','j']]]</t>
  </si>
  <si>
    <t>BCDEFGHIJ_{t+1}|ABCDEFGHI_{t}</t>
  </si>
  <si>
    <t>[[['G'],
['∅']],
[['B','C','D','E','F','H','I','J'],
['a','b','c','d','e','f','g','h','i']]]</t>
  </si>
  <si>
    <t>[[['G'],['∅']],[['B','C','D','E','F','H','I','J'],['a','b','c','d','e','f','g','h','i']]]</t>
  </si>
  <si>
    <t>BCDEFGHIJ_{t+1}|BCDEFGHIJ_{t}</t>
  </si>
  <si>
    <t>[[['G'],
['∅']],
[['B','C','D','E','F','H','I','J'],
['b','c','d','e','f','g','h','i','j']]]</t>
  </si>
  <si>
    <t>[[['G'],['∅']],[['B','C','D','E','F','H','I','J'],['c','d','e','f','g','h','i','j']]]</t>
  </si>
  <si>
    <t>BCDEFGHI_{t+1}|ABCDEFGHIJ_{t}</t>
  </si>
  <si>
    <t>[[['I'],
['∅']],
[['B','C','D','E','F','G','H'],
['a','b','c','d','e','f','g','h','i','j']]]</t>
  </si>
  <si>
    <t>[[['I'],['∅']],[['B','C','D','E','F','G','H'],['a','b','c','d','e','f','g','h','i','j']]]</t>
  </si>
  <si>
    <t>ABCDEFGHIJ_{t+1}|ABDEGHJ_{t}</t>
  </si>
  <si>
    <t>[[['J'],
['∅']],
[['A','B','C','D','E','F','G','H','I'],
['a','b','d','e','g','h','j']]]</t>
  </si>
  <si>
    <t>[[['J'],['∅']],[['A','B','C','D','E','F','G','H','I'],['a','b','e','g','j']]]</t>
  </si>
  <si>
    <t>ABCDEFGHI_{t+1}|BCDEFGHI_{t}</t>
  </si>
  <si>
    <t>[[['B'],
['∅']],
[['A','C','D','E','F','G','H','I'],
['b','c','d','e','f','g','h','i']]]</t>
  </si>
  <si>
    <t>[[['H'],['∅']],[['A','B','C','D','E','F','G','I'],['c','d','e','f','g','h','i']]]</t>
  </si>
  <si>
    <t>BCDEFGHIJ_{t+1}|BCDEFGHI_{t}</t>
  </si>
  <si>
    <t>[[['B'],
['∅']],
[['C','D','E','F','G','H','I','J'],
['b','c','d','e','f','g','h','i']]]</t>
  </si>
  <si>
    <t>[[['H'],['∅']],[['B','C','D','E','F','G','I','J'],['c','d','e','f','g','h','i']]]</t>
  </si>
  <si>
    <t>BCDEFGHI_{t+1}|ABCDEFGHI_{t}</t>
  </si>
  <si>
    <t>[[['G'],
['∅']],
[['B','C','D','E','F','H','I'],
['a','b','c','d','e','f','g','h','i']]]</t>
  </si>
  <si>
    <t>[[['G'],['∅']],[['B','C','D','E','F','H','I'],['a','b','c','d','e','f','g','h','i']]]</t>
  </si>
  <si>
    <t>BCDEFGHI_{t+1}|BCDEFGHIJ_{t}</t>
  </si>
  <si>
    <t>[[['G'],
['∅']],
[['B','C','D','E','F','H','I'],
['b','c','d','e','f','g','h','i','j']]]</t>
  </si>
  <si>
    <t>[[['G'],['∅']],[['B','C','D','E','F','H','I'],['c','d','e','f','g','h','i','j']]]</t>
  </si>
  <si>
    <t>ABDEGHJ_{t+1}|ABCDEFGHIJ_{t}</t>
  </si>
  <si>
    <t>[[['A'],
['∅']],
[['B','D','E','G','H','J'],
['a','b','c','d','e','f','g','h','i','j']]]</t>
  </si>
  <si>
    <t>[[['A'],['∅']],[['B','D','E','G','H','J'],['a','b','c','d','e','f','g','h','i','j']]]</t>
  </si>
  <si>
    <t>ABCDEFGHI_{t+1}|ABDEGHJ_{t}</t>
  </si>
  <si>
    <t>[[['C'],
['∅']],
[['A','B','D','E','F','G','H','I'],
['a','b','d','e','g','h','j']]]</t>
  </si>
  <si>
    <t>[[['C'],['∅']],[['A','B','D','E','F','G','H','I'],['a','b','e','g','j']]]</t>
  </si>
  <si>
    <t>BCDEFGHIJ_{t+1}|ABDEGHJ_{t}</t>
  </si>
  <si>
    <t>[[['J'],
['∅']],
[['B','C','D','E','F','G','H','I'],
['a','b','d','e','g','h','j']]]</t>
  </si>
  <si>
    <t>[[['J'],['∅']],[['B','C','D','E','F','G','H','I'],['a','b','e','g','j']]]</t>
  </si>
  <si>
    <t>BCDEFGHI_{t+1}|BCDEFGHI_{t}</t>
  </si>
  <si>
    <t>[[['B'],
['∅']],
[['C','D','E','F','G','H','I'],
['b','c','d','e','f','g','h','i']]]</t>
  </si>
  <si>
    <t>[[['H'],['∅']],[['B','C','D','E','F','G','I'],['c','d','e','f','g','h','i']]]</t>
  </si>
  <si>
    <t>ABDEGHJ_{t+1}|ABCDEFGHI_{t}</t>
  </si>
  <si>
    <t>[[['G'],
['∅']],
[['A','B','D','E','H','J'],
['a','b','c','d','e','f','g','h','i']]]</t>
  </si>
  <si>
    <t>[[['G'],['∅']],[['A','B','D','E','H','J'],['a','b','c','d','e','f','g','h','i']]]</t>
  </si>
  <si>
    <t>ABDEGHJ_{t+1}|BCDEFGHIJ_{t}</t>
  </si>
  <si>
    <t>[[['G'],
['∅']],
[['A','B','D','E','H','J'],
['b','c','d','e','f','g','h','i','j']]]</t>
  </si>
  <si>
    <t>[[['G'],['∅']],[['A','B','D','E','H','J'],['c','d','e','f','g','h','i','j']]]</t>
  </si>
  <si>
    <t>BCDEFGJ_{t+1}|BCDEFGHIJ_{t}</t>
  </si>
  <si>
    <t>[[['G'],
['∅']],
[['B','C','D','E','F','J'],
['b','c','d','e','f','g','h','i','j']]]</t>
  </si>
  <si>
    <t>[[['G'],['∅']],[['B','C','D','E','F','J'],['c','d','e','f','g','h','i','j']]]</t>
  </si>
  <si>
    <t>ABCDEFGHIJ_{t+1}|ACEGI_{t}</t>
  </si>
  <si>
    <t>[[['E'],
['∅']],
[['A','B','C','D','F','G','H','I','J'],
['a','c','e','g','i']]]</t>
  </si>
  <si>
    <t>[[['E'],['∅']],[['A','B','C','D','F','G','H','I','J'],['a','e','i']]]</t>
  </si>
  <si>
    <t>ABCDEFGHIJ_{t+1}|BDFHJ_{t}</t>
  </si>
  <si>
    <t>[[['I'],
['∅']],
[['A','B','C','D','E','F','G','H','J'],
['b','d','f','h','j']]]</t>
  </si>
  <si>
    <t>[[['I'],['∅']],[['A','B','C','D','E','F','G','H','J'],['d','h']]]</t>
  </si>
  <si>
    <t>BCDEFGHI_{t+1}|ABDEGHJ_{t}</t>
  </si>
  <si>
    <t>[[['C'],
['∅']],
[['B','D','E','F','G','H','I'],
['a','b','d','e','g','h','j']]]</t>
  </si>
  <si>
    <t>[[['C'],['∅']],[['B','D','E','F','G','H','I'],['a','b','e','g','j']]]</t>
  </si>
  <si>
    <t>ACEGI_{t+1}|ABCDEFGHIJ_{t}</t>
  </si>
  <si>
    <t>[[['I'],
['∅']],
[['A','C','E','G'],
['a','b','c','d','e','f','g','h','i','j']]]</t>
  </si>
  <si>
    <t>[[['I'],['∅']],[['A','C','E','G'],['a','b','c','d','e','f','g','h','i','j']]]</t>
  </si>
  <si>
    <t>BDFHJ_{t+1}|ABCDEFGHIJ_{t}</t>
  </si>
  <si>
    <t>[[['H'],
['i']],
[['B','D','F','J'],
['a','b','c','d','e','f','g','h','j']]]</t>
  </si>
  <si>
    <t>[[['J'],['∅']],[['B','D','F','H'],['a','b','c','d','e','f','g','h','i','j']]]</t>
  </si>
  <si>
    <t>ABDEGHJ_{t+1}|BCDEFGHI_{t}</t>
  </si>
  <si>
    <t>[[['B'],
['∅']],
[['A','D','E','G','H','J'],
['b','c','d','e','f','g','h','i']]]</t>
  </si>
  <si>
    <t>[[['H'],['∅']],[['A','B','D','E','G','J'],['c','d','e','f','g','h','i']]]</t>
  </si>
  <si>
    <t>ABCDEFGHI_{t+1}|ACEGI_{t}</t>
  </si>
  <si>
    <t>[[['E'],
['∅']],
[['A','B','C','D','F','G','H','I'],
['a','c','e','g','i']]]</t>
  </si>
  <si>
    <t>[[['E'],['∅']],[['A','B','C','D','F','G','H','I'],['a','e','i']]]</t>
  </si>
  <si>
    <t>ABCDEFGHI_{t+1}|BDFHJ_{t}</t>
  </si>
  <si>
    <t>[[['I'],
['∅']],
[['A','B','C','D','E','F','G','H'],
['b','d','f','h','j']]]</t>
  </si>
  <si>
    <t>[[['I'],['∅']],[['A','B','C','D','E','F','G','H'],['d','h']]]</t>
  </si>
  <si>
    <t>BCDEFGHIJ_{t+1}|ACEGI_{t}</t>
  </si>
  <si>
    <t>[[['E'],
['∅']],
[['B','C','D','F','G','H','I','J'],
['a','c','e','g','i']]]</t>
  </si>
  <si>
    <t>[[['E'],['∅']],[['B','C','D','F','G','H','I','J'],['a','e','i']]]</t>
  </si>
  <si>
    <t>BCDEFGHIJ_{t+1}|BDFHJ_{t}</t>
  </si>
  <si>
    <t>[[['I'],
['∅']],
[['B','C','D','E','F','G','H','J'],
['b','d','f','h','j']]]</t>
  </si>
  <si>
    <t>[[['I'],['∅']],[['B','C','D','E','F','G','H','J'],['d','h']]]</t>
  </si>
  <si>
    <t>ACEGI_{t+1}|ABCDEFGHI_{t}</t>
  </si>
  <si>
    <t>[[['G'],
['∅']],
[['A','C','E','I'],
['a','b','c','d','e','f','g','h','i']]]</t>
  </si>
  <si>
    <t>[[['G'],['∅']],[['A','C','E','I'],['a','b','c','d','e','f','g','h','i']]]</t>
  </si>
  <si>
    <t>ACEGI_{t+1}|BCDEFGHIJ_{t}</t>
  </si>
  <si>
    <t>[[['G'],
['∅']],
[['A','C','E','I'],
['b','c','d','e','f','g','h','i','j']]]</t>
  </si>
  <si>
    <t>[[['G'],['∅']],[['A','C','E','I'],['c','d','e','f','g','h','i','j']]]</t>
  </si>
  <si>
    <t>BDFHJ_{t+1}|ABCDEFGHI_{t}</t>
  </si>
  <si>
    <t>[[['J'],
['∅']],
[['B','D','F','H'],
['a','b','c','d','e','f','g','h','i']]]</t>
  </si>
  <si>
    <t>[[['J'],['∅']],[['B','D','F','H'],['a','b','c','d','e','f','g','h','i']]]</t>
  </si>
  <si>
    <t>BDFHJ_{t+1}|BCDEFGHIJ_{t}</t>
  </si>
  <si>
    <t>[[['F'],
['∅']],
[['B','D','H','J'],
['b','c','d','e','f','g','h','i','j']]]</t>
  </si>
  <si>
    <t>[[['F'],['∅']],[['B','D','H','J'],['c','d','e','f','g','h','i','j']]]</t>
  </si>
  <si>
    <t>ABDEGHJ_{t+1}|ABDEGHJ_{t}</t>
  </si>
  <si>
    <t>[[['J'],
['∅']],
[['A','B','D','E','G','H'],
['a','b','d','e','g','h','j']]]</t>
  </si>
  <si>
    <t>[[['J'],['∅']],[['A','B','D','E','G','H'],['a','b','e','g','j']]]</t>
  </si>
  <si>
    <t>BCDEFGHI_{t+1}|ACEGI_{t}</t>
  </si>
  <si>
    <t>[[['E'],
['∅']],
[['B','C','D','F','G','H','I'],
['a','c','e','g','i']]]</t>
  </si>
  <si>
    <t>[[['E'],['∅']],[['B','C','D','F','G','H','I'],['a','e','i']]]</t>
  </si>
  <si>
    <t>BCDEFGHI_{t+1}|BDFHJ_{t}</t>
  </si>
  <si>
    <t>[[['I'],
['∅']],
[['B','C','D','E','F','G','H'],
['b','d','f','h','j']]]</t>
  </si>
  <si>
    <t>[[['I'],['∅']],[['B','C','D','E','F','G','H'],['d','h']]]</t>
  </si>
  <si>
    <t>ACEGI_{t+1}|BCDEFGHI_{t}</t>
  </si>
  <si>
    <t>[[['A'],
['∅']],
[['C','E','G','I'],
['b','c','d','e','f','g','h','i']]]</t>
  </si>
  <si>
    <t>[[['A'],['∅']],[['C','E','G','I'],['c','d','e','f','g','h','i']]]</t>
  </si>
  <si>
    <t>BDFHJ_{t+1}|BCDEFGHI_{t}</t>
  </si>
  <si>
    <t>[[['B'],
['∅']],
[['D','F','H','J'],
['b','c','d','e','f','g','h','i']]]</t>
  </si>
  <si>
    <t>[[['H'],['∅']],[['B','D','F','J'],['c','d','e','f','g','h','i']]]</t>
  </si>
  <si>
    <t>ACEGI_{t+1}|ABDEGHJ_{t}</t>
  </si>
  <si>
    <t>[[['C'],
['∅']],
[['A','E','G','I'],
['a','b','d','e','g','h','j']]]</t>
  </si>
  <si>
    <t>[[['C'],['∅']],[['A','E','G','I'],['a','b','e','g','j']]]</t>
  </si>
  <si>
    <t>BDFHJ_{t+1}|ABDEGHJ_{t}</t>
  </si>
  <si>
    <t>[[['J'],
['∅']],
[['B','D','F','H'],
['a','b','d','e','g','h','j']]]</t>
  </si>
  <si>
    <t>[[['J'],['∅']],[['B','D','F','H'],['a','b','e','g','j']]]</t>
  </si>
  <si>
    <t>ABDEGHJ_{t+1}|ACEGI_{t}</t>
  </si>
  <si>
    <t>[[['E'],
['∅']],
[['A','B','D','G','H','J'],
['a','c','e','g','i']]]</t>
  </si>
  <si>
    <t>[[['E'],['∅']],[['A','B','D','G','H','J'],['a','e','i']]]</t>
  </si>
  <si>
    <t>ABDEGHJ_{t+1}|BDFHJ_{t}</t>
  </si>
  <si>
    <t>[[['A'],
['∅']],
[['B','D','E','G','H','J'],
['b','d','f','h','j']]]</t>
  </si>
  <si>
    <t>[[['A'],['∅']],[['B','D','E','G','H','J'],['d','h']]]</t>
  </si>
  <si>
    <t>ACEGI_{t+1}|ACEGI_{t}</t>
  </si>
  <si>
    <t>[[['E'],
['∅']],
[['A','C','G','I'],
['a','c','e','g','i']]]</t>
  </si>
  <si>
    <t>[[['E'],['∅']],[['A','C','G','I'],['a','e','i']]]</t>
  </si>
  <si>
    <t>ACEGI_{t+1}|BDFHJ_{t}</t>
  </si>
  <si>
    <t>[[['I'],
['∅']],
[['A','C','E','G'],
['b','d','f','h','j']]]</t>
  </si>
  <si>
    <t>[[['I'],['∅']],[['A','C','E','G'],['d','h']]]</t>
  </si>
  <si>
    <t>BDFHJ_{t+1}|ACEGI_{t}</t>
  </si>
  <si>
    <t>[[['F'],
['∅']],
[['B','D','H','J'],
['a','c','e','g','i']]]</t>
  </si>
  <si>
    <t>[[['F'],['∅']],[['B','D','H','J'],['a','e','i']]]</t>
  </si>
  <si>
    <t>BDFHJ_{t+1}|BDFHJ_{t}</t>
  </si>
  <si>
    <t>[[['F'],
['∅']],
[['B','D','H','J'],
['b','d','f','h','j']]]</t>
  </si>
  <si>
    <t>[[['F'],['∅']],[['B','D','H','J'],['d','h']]]</t>
  </si>
  <si>
    <t>Tiempo ejecución</t>
  </si>
  <si>
    <t>ABCDEFGHIJKLMNO_{t+1}|ABCDEFGHIJKLMNO_{t}</t>
  </si>
  <si>
    <t>[[['∅'],
['a']],
[['A','B','C','D','E','F','G','H','I','J','K','L','M','N','O'],
['b','c','d','e','f','g','h','i','j','k','l','m','n','o']]]</t>
  </si>
  <si>
    <t>[[['∅'],
['i']],
[['A', 'B', 'C', 'D', 'E', 'F', 'G', 'H', 'I', 'J', 'K', 'L', 'M', 'N', 'O'],
['a', 'b', 'c', 'd', 'e', 'f', 'g', 'h', 'j', 'k', 'l', 'm', 'n', 'o']]]</t>
  </si>
  <si>
    <t>[[['∅'],['o']],[['A','B','C','D','E','F','G','H','I','J','K','L','M','N','O'],['a','b','c','d','e','f','g','h','i','j','k','l','m','n']]]</t>
  </si>
  <si>
    <t>ABCDEFGHIJKLMNO_{t+1}|ABCDEFGHIJKLMN_{t}</t>
  </si>
  <si>
    <t>[[['∅'],
['a']],
[['A','B','C','D','E','F','G','H','I','J','K','L','M','N','O'],
['b','c','d','e','f','g','h','i','j','k','l','m','n']]]</t>
  </si>
  <si>
    <t>[[['∅'],
['m']],
[['A', 'B', 'C', 'D', 'E', 'F', 'G', 'H', 'I', 'J', 'K', 'L', 'M', 'N', 'O'],
['a', 'b', 'c', 'd', 'e', 'f', 'g', 'h', 'i', 'j', 'k', 'l', 'n']]]</t>
  </si>
  <si>
    <t>[[['∅'],['m']],[['A','B','C','D','E','F','G','H','I','J','K','L','M','N','O'],['a','b','c','d','e','f','g','h','i','j','k','l','n']]]</t>
  </si>
  <si>
    <t>ABCDEFGHIJKLMNO_{t+1}|BCDEFGHIJKLMNO_{t}</t>
  </si>
  <si>
    <t>[[['∅'],
['b']],
[['A','B','C','D','E','F','G','H','I','J','K','L','M','N','O'],
['c','d','e','f','g','h','i','j','k','l','m','n','o']]]</t>
  </si>
  <si>
    <t>[[['∅'],
['o']],
[['A', 'B', 'C', 'D', 'E', 'F', 'G', 'H', 'I', 'J', 'K', 'L', 'M', 'N', 'O'],
['b', 'c', 'd', 'e', 'f', 'g', 'h', 'i', 'j', 'k', 'l', 'm', 'n']]]</t>
  </si>
  <si>
    <t>[[['∅'],['o']],[['A','B','C','D','E','F','G','H','I','J','K','L','M','N','O'],['b','c','d','e','f','g','h','i','j','k','l','m','n']]]</t>
  </si>
  <si>
    <t>ABCDEFGHIJKLMN_{t+1}|ABCDEFGHIJKLMNO_{t}</t>
  </si>
  <si>
    <t>[[['∅'],
['a']],
[['A','B','C','D','E','F','G','H','I','J','K','L','M','N'],
['b','c','d','e','f','g','h','i','j','k','l','m','n','o']]]</t>
  </si>
  <si>
    <t>[[['∅'],
['o']],
[['A', 'B', 'C', 'D', 'E', 'F', 'G', 'H', 'I', 'J', 'K', 'L', 'M', 'N'],
['a', 'b', 'c', 'd', 'e', 'f', 'g', 'h', 'i', 'j', 'k', 'l', 'm', 'n']]]</t>
  </si>
  <si>
    <t>[[['∅'],['o']],[['A','B','C','D','E','F','G','H','I','J','K','L','M','N'],['a','b','c','d','e','f','g','h','i','j','k','l','m','n']]]</t>
  </si>
  <si>
    <t>BCDEFGHIJKLMNO_{t+1}|ABCDEFGHIJKLMNO_{t}</t>
  </si>
  <si>
    <t>[[['∅'],
['a']],
[['B','C','D','E','F','G','H','I','J','K','L','M','N','O'],
['b','c','d','e','f','g','h','i','j','k','l','m','n','o']]]</t>
  </si>
  <si>
    <t>[[['∅'],
['o']],
[['B', 'C', 'D', 'E', 'F', 'G', 'H', 'I', 'J', 'K', 'L', 'M', 'N', 'O'],
['a', 'b', 'c', 'd', 'e', 'f', 'g', 'h', 'i', 'j', 'k', 'l', 'm', 'n']]]</t>
  </si>
  <si>
    <t>[[['∅'],['o']],[['B','C','D','E','F','G','H','I','J','K','L','M','N','O'],['a','b','c','d','e','f','g','h','i','j','k','l','m','n']]]</t>
  </si>
  <si>
    <t>ABCDEFGHIJKLMNO_{t+1}|BCDEFGHIJKLMN_{t}</t>
  </si>
  <si>
    <t>[[['∅'],
['b']],
[['A','B','C','D','E','F','G','H','I','J','K','L','M','N','O'],
['c','d','e','f','g','h','i','j','k','l','m','n']]]</t>
  </si>
  <si>
    <t>[[['∅'],
['g']],
[['A', 'B', 'C', 'D', 'E', 'F', 'G', 'H', 'I', 'J', 'K', 'L', 'M', 'N', 'O'],
['b', 'c', 'd', 'e', 'f', 'h', 'i', 'j', 'k', 'l', 'm', 'n']]]</t>
  </si>
  <si>
    <t>[[['∅'],['g']],[['A','B','C','D','E','F','G','H','I','J','K','L','M','N','O'],['b','c','d','e','f','h','i','j','k','l','m','n']]]</t>
  </si>
  <si>
    <t>ABCDEFGHIJKLMN_{t+1}|ABCDEFGHIJKLMN_{t}</t>
  </si>
  <si>
    <t>[[['∅'],
['a']],
[['A','B','C','D','E','F','G','H','I','J','K','L','M','N'],
['b','c','d','e','f','g','h','i','j','k','l','m','n']]]</t>
  </si>
  <si>
    <t>[[['∅'],
['m']],
[['A', 'B', 'C', 'D', 'E', 'F', 'G', 'H', 'I', 'J', 'K', 'L', 'M', 'N'],
['a', 'b', 'c', 'd', 'e', 'f', 'g', 'h', 'i', 'j', 'k', 'l', 'n']]]</t>
  </si>
  <si>
    <t>[[['∅'],['m']],[['A','B','C','D','E','F','G','H','I','J','K','L','M','N'],['a','b','c','d','e','f','g','h','i','j','k','l','n']]]</t>
  </si>
  <si>
    <t>ABCDEFGHIJKLMN_{t+1}|BCDEFGHIJKLMNO_{t}</t>
  </si>
  <si>
    <t>[[['∅'],
['b']],
[['A','B','C','D','E','F','G','H','I','J','K','L','M','N'],
['c','d','e','f','g','h','i','j','k','l','m','n','o']]]</t>
  </si>
  <si>
    <t>[[['∅'],
['o']],
[['A', 'B', 'C', 'D', 'E', 'F', 'G', 'H', 'I', 'J', 'K', 'L', 'M', 'N'],
['b', 'c', 'd', 'e', 'f', 'g', 'h', 'i', 'j', 'k', 'l', 'm', 'n']]]</t>
  </si>
  <si>
    <t>[[['∅'],['o']],[['A','B','C','D','E','F','G','H','I','J','K','L','M','N'],['b','c','d','e','f','g','h','i','j','k','l','m','n']]]</t>
  </si>
  <si>
    <t>BCDEFGHIJKLMNO_{t+1}|ABCDEFGHIJKLMN_{t}</t>
  </si>
  <si>
    <t>[[['∅'],
['a']],
[['B','C','D','E','F','G','H','I','J','K','L','M','N','O'],
['b','c','d','e','f','g','h','i','j','k','l','m','n']]]</t>
  </si>
  <si>
    <t>[[['∅'],
['m']],
[['B', 'C', 'D', 'E', 'F', 'G', 'H', 'I', 'J', 'K', 'L', 'M', 'N', 'O'],
['a', 'b', 'c', 'd', 'e', 'f', 'g', 'h', 'i', 'j', 'k', 'l', 'n']]]</t>
  </si>
  <si>
    <t>[[['∅'],['m']],[['B','C','D','E','F','G','H','I','J','K','L','M','N','O'],['a','b','c','d','e','f','g','h','i','j','k','l','n']]]</t>
  </si>
  <si>
    <t>BCDEFGHIJKLMNO_{t+1}|BCDEFGHIJKLMNO_{t}</t>
  </si>
  <si>
    <t>[[['∅'],
['b']],
[['B','C','D','E','F','G','H','I','J','K','L','M','N','O'],
['c','d','e','f','g','h','i','j','k','l','m','n','o']]]</t>
  </si>
  <si>
    <t>[[['∅'],
['o']],
[['B', 'C', 'D', 'E', 'F', 'G', 'H', 'I', 'J', 'K', 'L', 'M', 'N', 'O'],
['b', 'c', 'd', 'e', 'f', 'g', 'h', 'i', 'j', 'k', 'l', 'm', 'n']]]</t>
  </si>
  <si>
    <t>[[['∅'],['o']],[['B','C','D','E','F','G','H','I','J','K','L','M','N','O'],['b','c','d','e','f','g','h','i','j','k','l','m','n']]]</t>
  </si>
  <si>
    <t>BCDEFGHIJKLMN_{t+1}|ABCDEFGHIJKLMNO_{t}</t>
  </si>
  <si>
    <t>[[['∅'],
['a']],
[['B','C','D','E','F','G','H','I','J','K','L','M','N'],
['b','c','d','e','f','g','h','i','j','k','l','m','n','o']]]</t>
  </si>
  <si>
    <t>[[['∅'],
['o']],
[['B', 'C', 'D', 'E', 'F', 'G', 'H', 'I', 'J', 'K', 'L', 'M', 'N'],
['a', 'b', 'c', 'd', 'e', 'f', 'g', 'h', 'i', 'j', 'k', 'l', 'm', 'n']]]</t>
  </si>
  <si>
    <t>[[['∅'],['o']],[['B','C','D','E','F','G','H','I','J','K','L','M','N'],['a','b','c','d','e','f','g','h','i','j','k','l','m','n']]]</t>
  </si>
  <si>
    <t>ABCDEFGHIJKLMN_{t+1}|BCDEFGHIJKLMN_{t}</t>
  </si>
  <si>
    <t>[[['∅'],
['b']],
[['A','B','C','D','E','F','G','H','I','J','K','L','M','N'],
['c','d','e','f','g','h','i','j','k','l','m','n']]]</t>
  </si>
  <si>
    <t>[[['∅'],
['g']],
[['A', 'B', 'C', 'D', 'E', 'F', 'G', 'H', 'I', 'J', 'K', 'L', 'M', 'N'],
['b', 'c', 'd', 'e', 'f', 'h', 'i', 'j', 'k', 'l', 'm', 'n']]]</t>
  </si>
  <si>
    <t>[[['∅'],['g']],[['A','B','C','D','E','F','G','H','I','J','K','L','M','N'],['b','c','d','e','f','h','i','j','k','l','m','n']]]</t>
  </si>
  <si>
    <t>BCDEFGHIJKLMNO_{t+1}|BCDEFGHIJKLMN_{t}</t>
  </si>
  <si>
    <t>[[['∅'],
['b']],
[['B','C','D','E','F','G','H','I','J','K','L','M','N','O'],
['c','d','e','f','g','h','i','j','k','l','m','n']]]</t>
  </si>
  <si>
    <t>[[['∅'],
['g']],
[['B', 'C', 'D', 'E', 'F', 'G', 'H', 'I', 'J', 'K', 'L', 'M', 'N', 'O'],
['b', 'c', 'd', 'e', 'f', 'h', 'i', 'j', 'k', 'l', 'm', 'n']]]</t>
  </si>
  <si>
    <t>[[['∅'],['g']],[['B','C','D','E','F','G','H','I','J','K','L','M','N','O'],['b','c','d','e','f','h','i','j','k','l','m','n']]]</t>
  </si>
  <si>
    <t>BCDEFGHIJKLMN_{t+1}|ABCDEFGHIJKLMN_{t}</t>
  </si>
  <si>
    <t>[[['∅'],
['a']],
[['B','C','D','E','F','G','H','I','J','K','L','M','N'],
['b','c','d','e','f','g','h','i','j','k','l','m','n']]]</t>
  </si>
  <si>
    <t>[[['∅'],
['g']],
[['B', 'C', 'D', 'E', 'F', 'G', 'H', 'I', 'J', 'K', 'L', 'M', 'N'],
['a', 'b', 'c', 'd', 'e', 'f', 'h', 'i', 'j', 'k', 'l', 'm', 'n']]]</t>
  </si>
  <si>
    <t>[[['∅'],['m']],[['B','C','D','E','F','G','H','I','J','K','L','M','N'],['a','b','c','d','e','f','g','h','i','j','k','l','n']]]</t>
  </si>
  <si>
    <t>BCDEFGHIJKLMN_{t+1}|BCDEFGHIJKLMNO_{t}</t>
  </si>
  <si>
    <t>[[['∅'],
['b']],
[['B','C','D','E','F','G','H','I','J','K','L','M','N'],
['c','d','e','f','g','h','i','j','k','l','m','n','o']]]</t>
  </si>
  <si>
    <t>[[['∅'],
['o']],
[['B', 'C', 'D', 'E', 'F', 'G', 'H', 'I', 'J', 'K', 'L', 'M', 'N'],
['b', 'c', 'd', 'e', 'f', 'g', 'h', 'i', 'j', 'k', 'l', 'm', 'n']]]</t>
  </si>
  <si>
    <t>[[['∅'],['o']],[['B','C','D','E','F','G','H','I','J','K','L','M','N'],['b','c','d','e','f','g','h','i','j','k','l','m','n']]]</t>
  </si>
  <si>
    <t>BCDEFGHIJKLMN_{t+1}|BCDEFGHIJKLMN_{t}</t>
  </si>
  <si>
    <t>[[['∅'],
['b']],
[['B','C','D','E','F','G','H','I','J','K','L','M','N'],
['c','d','e','f','g','h','i','j','k','l','m','n']]]</t>
  </si>
  <si>
    <t>[[['∅'],
['g']],
[['B', 'C', 'D', 'E', 'F', 'G', 'H', 'I', 'J', 'K', 'L', 'M', 'N'],
['b', 'c', 'd', 'e', 'f', 'h', 'i', 'j', 'k', 'l', 'm', 'n']]]</t>
  </si>
  <si>
    <t>[[['∅'],['g']],[['B','C','D','E','F','G','H','I','J','K','L','M','N'],['b','c','d','e','f','h','i','j','k','l','m','n']]]</t>
  </si>
  <si>
    <t>BCDEFGJKLMNO_{t+1}|BCDEFGHIJKLMNO_{t}</t>
  </si>
  <si>
    <t>[[['∅'],
['b']],
[['B','C','D','E','F','G','J','K','L','M','N','O'],
['c','d','e','f','g','h','i','j','k','l','m','n','o']]]</t>
  </si>
  <si>
    <t>[[['∅'],
['o']],
[['B', 'C', 'D', 'E', 'F', 'G', 'J', 'K', 'L', 'M', 'N', 'O'],
['b', 'c', 'd', 'e', 'f', 'g', 'h', 'i', 'j', 'k', 'l', 'm', 'n']]]</t>
  </si>
  <si>
    <t>[[['∅'],['o']],[['B','C','D','E','F','G','J','K','L','M','N','O'],['b','c','d','e','f','g','h','i','j','k','l','m','n']]]</t>
  </si>
  <si>
    <t>ABCDEFGHIJKLMNO_{t+1}|ABDEGHJKMN_{t}</t>
  </si>
  <si>
    <t>[[['O'],
['∅']],
[['A', 'B', 'C', 'D', 'E', 'F', 'G', 'H', 'I', 'J', 'K', 'L', 'M', 'N'],
['a', 'b', 'd', 'e', 'g', 'h', 'j', 'k', 'm', 'n']]]</t>
  </si>
  <si>
    <t>[[['O'],['∅']],[['A','B','C','D','E','F','G','H','I','J','K','L','M','N'],['a','b','e','g','j','k','n']]]</t>
  </si>
  <si>
    <t>ABDEGHJKMN_{t+1}|ABCDEFGHIJKLMNO_{t}</t>
  </si>
  <si>
    <t>[[['∅'],
['a']],
[['A','B','D','E','G','H','J','K','M','N'],
['b','c','d','e','f','g','h','i','j','k','l','m','n','o']]]</t>
  </si>
  <si>
    <t>[[['∅'],
['o']],
[['A', 'B', 'D', 'E', 'G', 'H', 'J', 'K', 'M', 'N'],
['a', 'b', 'c', 'd', 'e', 'f', 'g', 'h', 'i', 'j', 'k', 'l', 'm', 'n']]]</t>
  </si>
  <si>
    <t>[[['∅'],['o']],[['A','B','D','E','G','H','J','K','M','N'],['a','b','c','d','e','f','g','h','i','j','k','l','m','n']]]</t>
  </si>
  <si>
    <t>ABCDEFGHIJKLMN_{t+1}|ABDEGHJKMN_{t}</t>
  </si>
  <si>
    <t>[[['N'],
['∅']],
[['A', 'B', 'C', 'D', 'E', 'F', 'G', 'H', 'I', 'J', 'K', 'L', 'M'],
['a', 'b', 'd', 'e', 'g', 'h', 'j', 'k', 'm', 'n']]]</t>
  </si>
  <si>
    <t>[[['N'],['∅']],[['A','B','C','D','E','F','G','H','I','J','K','L','M'],['a','b','e','g','j','k','n']]]</t>
  </si>
  <si>
    <t>BCDEFGHIJKLMNO_{t+1}|ABDEGHJKMN_{t}</t>
  </si>
  <si>
    <t>[[['O'],
['∅']],
[['B', 'C', 'D', 'E', 'F', 'G', 'H', 'I', 'J', 'K', 'L', 'M', 'N'],
['a', 'b', 'd', 'e', 'g', 'h', 'j', 'k', 'm', 'n']]]</t>
  </si>
  <si>
    <t>[[['O'],['∅']],[['B','C','D','E','F','G','H','I','J','K','L','M','N'],['a','b','e','g','j','k','n']]]</t>
  </si>
  <si>
    <t>ABDEGHJKMN_{t+1}|ABCDEFGHIJKLMN_{t}</t>
  </si>
  <si>
    <t>[[['∅'],
['a']],
[['A','B','D','E','G','H','J','K','M','N'],
['b','c','d','e','f','g','h','i','j','k','l','m','n']]]</t>
  </si>
  <si>
    <t>[[['∅'],
['g']],
[['A', 'B', 'D', 'E', 'G', 'H', 'J', 'K', 'M', 'N'],
['a', 'b', 'c', 'd', 'e', 'f', 'h', 'i', 'j', 'k', 'l', 'm', 'n']]]</t>
  </si>
  <si>
    <t>[[['∅'],['m']],[['A','B','D','E','G','H','J','K','M','N'],['a','b','c','d','e','f','g','h','i','j','k','l','n']]]</t>
  </si>
  <si>
    <t>ABDEGHJKMN_{t+1}|BCDEFGHIJKLMNO_{t}</t>
  </si>
  <si>
    <t>[[['∅'],
['b']],
[['A','B','D','E','G','H','J','K','M','N'],
['c','d','e','f','g','h','i','j','k','l','m','n','o']]]</t>
  </si>
  <si>
    <t>[[['∅'],
['o']],
[['A', 'B', 'D', 'E', 'G', 'H', 'J', 'K', 'M', 'N'],
['b', 'c', 'd', 'e', 'f', 'g', 'h', 'i', 'j', 'k', 'l', 'm', 'n']]]</t>
  </si>
  <si>
    <t>[[['∅'],['o']],[['A','B','D','E','G','H','J','K','M','N'],['b','c','d','e','f','g','h','i','j','k','l','m','n']]]</t>
  </si>
  <si>
    <t>ABCDEFGHIJKLMNO_{t+1}|ACEGIKMO_{t}</t>
  </si>
  <si>
    <t>[[['L'],
['∅']],
[['A', 'B', 'C', 'D', 'E', 'F', 'G', 'H', 'I', 'J', 'K', 'M', 'N', 'O'],
['a', 'c', 'e', 'g', 'i', 'k', 'm', 'o']]]</t>
  </si>
  <si>
    <t>[[['L'],['∅']],[['A','B','C','D','E','F','G','H','I','J','K','M','N','O'],['a','e','i','m']]]</t>
  </si>
  <si>
    <t>BCDEFGHIJKLMN_{t+1}|ABDEGHJKMN_{t}</t>
  </si>
  <si>
    <t>[[['N'],
['∅']],
[['B', 'C', 'D', 'E', 'F', 'G', 'H', 'I', 'J', 'K', 'L', 'M'],
['a', 'b', 'd', 'e', 'g', 'h', 'j', 'k', 'm', 'n']]]</t>
  </si>
  <si>
    <t>[[['N'],['∅']],[['B','C','D','E','F','G','H','I','J','K','L','M'],['a','b','e','g','j','k','n']]]</t>
  </si>
  <si>
    <t>ACEGIKMO_{t+1}|ABCDEFGHIJKLMNO_{t}</t>
  </si>
  <si>
    <t>[[['∅'],
['a']],
[['A','C','E','G','I','K','M','O'],
['b','c','d','e','f','g','h','i','j','k','l','m','n','o']]]</t>
  </si>
  <si>
    <t>[[['∅'],
['i']],
[['A', 'C', 'E', 'G', 'I', 'K', 'M', 'O'],
['a', 'b', 'c', 'd', 'e', 'f', 'g', 'h', 'j', 'k', 'l', 'm', 'n', 'o']]]</t>
  </si>
  <si>
    <t>[[['∅'],['o']],[['A','C','E','G','I','K','M','O'],['a','b','c','d','e','f','g','h','i','j','k','l','m','n']]]</t>
  </si>
  <si>
    <t>ABDEGHJKMN_{t+1}|BCDEFGHIJKLMN_{t}</t>
  </si>
  <si>
    <t>[[['∅'],
['b']],
[['A','B','D','E','G','H','J','K','M','N'],
['c','d','e','f','g','h','i','j','k','l','m','n']]]</t>
  </si>
  <si>
    <t>[[['∅'],
['g']],
[['A', 'B', 'D', 'E', 'G', 'H', 'J', 'K', 'M', 'N'],
['b', 'c', 'd', 'e', 'f', 'h', 'i', 'j', 'k', 'l', 'm', 'n']]]</t>
  </si>
  <si>
    <t>[[['∅'],['g']],[['A','B','D','E','G','H','J','K','M','N'],['b','c','d','e','f','h','i','j','k','l','m','n']]]</t>
  </si>
  <si>
    <t>ABCDEFGHIJKLMNO_{t+1}|BDFHJLN_{t}</t>
  </si>
  <si>
    <t>[[['G'],
['∅']],
[['A', 'B', 'C', 'D', 'E', 'F', 'H', 'I', 'J', 'K', 'L', 'M', 'N', 'O'],
['b', 'd', 'f', 'h', 'j', 'l', 'n']]]</t>
  </si>
  <si>
    <t>[[['E'],['∅']],[['A','B','C','D','F','G','H','I','J','K','L','M','N','O'],['d','h','l']]]</t>
  </si>
  <si>
    <t>ABCDEFGHIJKLMN_{t+1}|ACEGIKMO_{t}</t>
  </si>
  <si>
    <t>[[['L'],
['∅']],
[['A', 'B', 'C', 'D', 'E', 'F', 'G', 'H', 'I', 'J', 'K', 'M', 'N'],
['a', 'c', 'e', 'g', 'i', 'k', 'm', 'o']]]</t>
  </si>
  <si>
    <t>[[['L'],['∅']],[['A','B','C','D','E','F','G','H','I','J','K','M','N'],['a','e','i','m']]]</t>
  </si>
  <si>
    <t>BCDEFGHIJKLMNO_{t+1}|ACEGIKMO_{t}</t>
  </si>
  <si>
    <t>[[['L'],
['∅']],
[['B', 'C', 'D', 'E', 'F', 'G', 'H', 'I', 'J', 'K', 'M', 'N', 'O'],
['a', 'c', 'e', 'g', 'i', 'k', 'm', 'o']]]</t>
  </si>
  <si>
    <t>[[['L'],['∅']],[['B','C','D','E','F','G','H','I','J','K','M','N','O'],['a','e','i','m']]]</t>
  </si>
  <si>
    <t>ACEGIKMO_{t+1}|ABCDEFGHIJKLMN_{t}</t>
  </si>
  <si>
    <t>[[['∅'],
['a']],
[['A','C','E','G','I','K','M','O'],
['b','c','d','e','f','g','h','i','j','k','l','m','n']]]</t>
  </si>
  <si>
    <t>[[['∅'],
['g']],
[['A', 'C', 'E', 'G', 'I', 'K', 'M', 'O'],
['a', 'b', 'c', 'd', 'e', 'f', 'h', 'i', 'j', 'k', 'l', 'm', 'n']]]</t>
  </si>
  <si>
    <t>[[['∅'],['m']],[['A','C','E','G','I','K','M','O'],['a','b','c','d','e','f','g','h','i','j','k','l','n']]]</t>
  </si>
  <si>
    <t>ACEGIKMO_{t+1}|BCDEFGHIJKLMNO_{t}</t>
  </si>
  <si>
    <t>[[['∅'],
['b']],
[['A','C','E','G','I','K','M','O'],
['c','d','e','f','g','h','i','j','k','l','m','n','o']]]</t>
  </si>
  <si>
    <t>[[['∅'],
['o']],
[['A', 'C', 'E', 'G', 'I', 'K', 'M', 'O'],
['b', 'c', 'd', 'e', 'f', 'g', 'h', 'i', 'j', 'k', 'l', 'm', 'n']]]</t>
  </si>
  <si>
    <t>[[['∅'],['o']],[['A','C','E','G','I','K','M','O'],['b','c','d','e','f','g','h','i','j','k','l','m','n']]]</t>
  </si>
  <si>
    <t>BDFHJLN_{t+1}|ABCDEFGHIJKLMNO_{t}</t>
  </si>
  <si>
    <t>[[['∅'],
['a']],
[['B','D','F','H','J','L','N'],
['b','c','d','e','f','g','h','i','j','k','l','m','n','o']]]</t>
  </si>
  <si>
    <t>[[['∅'],
['i']],
[['B', 'D', 'F', 'H', 'J', 'L', 'N'],
['a', 'b', 'c', 'd', 'e', 'f', 'g', 'h', 'j', 'k', 'l', 'm', 'n', 'o']]]</t>
  </si>
  <si>
    <t>[[['∅'],['o']],[['B','D','F','H','J','L','N'],['a','b','c','d','e','f','g','h','i','j','k','l','m','n']]]</t>
  </si>
  <si>
    <t>ABCDEFGHIJKLMN_{t+1}|BDFHJLN_{t}</t>
  </si>
  <si>
    <t>[[['G'],
['∅']],
[['A', 'B', 'C', 'D', 'E', 'F', 'H', 'I', 'J', 'K', 'L', 'M', 'N'],
['b', 'd', 'f', 'h', 'j', 'l', 'n']]]</t>
  </si>
  <si>
    <t>[[['E'],['∅']],[['A','B','C','D','F','G','H','I','J','K','L','M','N'],['d','h','l']]]</t>
  </si>
  <si>
    <t>BCDEFGHIJKLMNO_{t+1}|BDFHJLN_{t}</t>
  </si>
  <si>
    <t>[[['G'],
['∅']],
[['B', 'C', 'D', 'E', 'F', 'H', 'I', 'J', 'K', 'L', 'M', 'N', 'O'],
['b', 'd', 'f', 'h', 'j', 'l', 'n']]]</t>
  </si>
  <si>
    <t>[[['E'],['∅']],[['B','C','D','F','G','H','I','J','K','L','M','N','O'],['d','h','l']]]</t>
  </si>
  <si>
    <t>BCDEFGHIJKLMN_{t+1}|ACEGIKMO_{t}</t>
  </si>
  <si>
    <t>[[['L'],
['∅']],
[['B', 'C', 'D', 'E', 'F', 'G', 'H', 'I', 'J', 'K', 'M', 'N'],
['a', 'c', 'e', 'g', 'i', 'k', 'm', 'o']]]</t>
  </si>
  <si>
    <t>[[['L'],['∅']],[['B','C','D','E','F','G','H','I','J','K','M','N'],['a','e','i','m']]]</t>
  </si>
  <si>
    <t>ACEGIKMO_{t+1}|BCDEFGHIJKLMN_{t}</t>
  </si>
  <si>
    <t>[[['∅'],
['b']],
[['A','C','E','G','I','K','M','O'],
['c','d','e','f','g','h','i','j','k','l','m','n']]]</t>
  </si>
  <si>
    <t>[[['∅'],
['g']],
[['A', 'C', 'E', 'G', 'I', 'K', 'M', 'O'],
['b', 'c', 'd', 'e', 'f', 'h', 'i', 'j', 'k', 'l', 'm', 'n']]]</t>
  </si>
  <si>
    <t>[[['∅'],['g']],[['A','C','E','G','I','K','M','O'],['b','c','d','e','f','h','i','j','k','l','m','n']]]</t>
  </si>
  <si>
    <t>BDFHJLN_{t+1}|ABCDEFGHIJKLMN_{t}</t>
  </si>
  <si>
    <t>[[['∅'],
['a']],
[['B','D','F','H','J','L','N'],
['b','c','d','e','f','g','h','i','j','k','l','m','n']]]</t>
  </si>
  <si>
    <t>[[['∅'],
['g']],
[['B', 'D', 'F', 'H', 'J', 'L', 'N'],
['a', 'b', 'c', 'd', 'e', 'f', 'h', 'i', 'j', 'k', 'l', 'm', 'n']]]</t>
  </si>
  <si>
    <t>[[['∅'],['m']],[['B','D','F','H','J','L','N'],['a','b','c','d','e','f','g','h','i','j','k','l','n']]]</t>
  </si>
  <si>
    <t>BDFHJLN_{t+1}|BCDEFGHIJKLMNO_{t}</t>
  </si>
  <si>
    <t>[[['∅'],
['b']],
[['B','D','F','H','J','L','N'],
['c','d','e','f','g','h','i','j','k','l','m','n','o']]]</t>
  </si>
  <si>
    <t>[[['∅'],
['o']],
[['B', 'D', 'F', 'H', 'J', 'L', 'N'],
['b', 'c', 'd', 'e', 'f', 'g', 'h', 'i', 'j', 'k', 'l', 'm', 'n']]]</t>
  </si>
  <si>
    <t>[[['∅'],['o']],[['B','D','F','H','J','L','N'],['b','c','d','e','f','g','h','i','j','k','l','m','n']]]</t>
  </si>
  <si>
    <t>BCDEFGHIJKLMN_{t+1}|BDFHJLN_{t}</t>
  </si>
  <si>
    <t>[[['G'],
['∅']],
[['B', 'C', 'D', 'E', 'F', 'H', 'I', 'J', 'K', 'L', 'M', 'N'],
['b', 'd', 'f', 'h', 'j', 'l', 'n']]]</t>
  </si>
  <si>
    <t>[[['E'],['∅']],[['B','C','D','F','G','H','I','J','K','L','M','N'],['d','h','l']]]</t>
  </si>
  <si>
    <t>BDFHJLN_{t+1}|BCDEFGHIJKLMN_{t}</t>
  </si>
  <si>
    <t>[[['∅'],
['b']],
[['B','D','F','H','J','L','N'],
['c','d','e','f','g','h','i','j','k','l','m','n']]]</t>
  </si>
  <si>
    <t>[[['∅'],
['g']],
[['B', 'D', 'F', 'H', 'J', 'L', 'N'],
['b', 'c', 'd', 'e', 'f', 'h', 'i', 'j', 'k', 'l', 'm', 'n']]]</t>
  </si>
  <si>
    <t>[[['∅'],['g']],[['B','D','F','H','J','L','N'],['b','c','d','e','f','h','i','j','k','l','m','n']]]</t>
  </si>
  <si>
    <t>ABDEGHJKMN_{t+1}|ABDEGHJKMN_{t}</t>
  </si>
  <si>
    <t>[[['N'],
['∅']],
[['A','B','D','E','G','H','J','K','M'],
['a','b','d','e','g','h','j','k','m','n']]]</t>
  </si>
  <si>
    <t>[[['N'],
['∅']],
[['A', 'B', 'D', 'E', 'G', 'H', 'J', 'K', 'M'],
['a', 'b', 'd', 'e', 'g', 'h', 'j', 'k', 'm', 'n']]]</t>
  </si>
  <si>
    <t>[[['N'],['∅']],[['A','B','D','E','G','H','J','K','M'],['a','b','e','g','j','k','n']]]</t>
  </si>
  <si>
    <t>ACEGIKMO_{t+1}|ABDEGHJKMN_{t}</t>
  </si>
  <si>
    <t>[[['O'],
['∅']],
[['A','C','E','G','I','K','M'],
['a','b','d','e','g','h','j','k','m','n']]]</t>
  </si>
  <si>
    <t>[[['O'],
['∅']],
[['A', 'C', 'E', 'G', 'I', 'K', 'M'],
['a', 'b', 'd', 'e', 'g', 'h', 'j', 'k', 'm', 'n']]]</t>
  </si>
  <si>
    <t>[[['O'],['∅']],[['A','C','E','G','I','K','M'],['a','b','e','g','j','k','n']]]</t>
  </si>
  <si>
    <t>ABDEGHJKMN_{t+1}|ACEGIKMO_{t}</t>
  </si>
  <si>
    <t>[[['D'],
['∅']],
[['A','B','E','G','H','J','K','M','N'],
['a','c','e','g','i','k','m','o']]]</t>
  </si>
  <si>
    <t>[[['E'],
['∅']],
[['A', 'B', 'D', 'G', 'H', 'J', 'K', 'M', 'N'],
['a', 'c', 'e', 'g', 'i', 'k', 'm', 'o']]]</t>
  </si>
  <si>
    <t>[[['E'],['∅']],[['A','B','D','G','H','J','K','M','N'],['a','e','i','m']]]</t>
  </si>
  <si>
    <t>BDFHJLN_{t+1}|ABDEGHJKMN_{t}</t>
  </si>
  <si>
    <t>[[['N'],
['∅']],
[['B','D','F','H','J','L'],
['a','b','d','e','g','h','j','k','m','n']]]</t>
  </si>
  <si>
    <t>[[['N'],
['∅']],
[['B', 'D', 'F', 'H', 'J', 'L'],
['a', 'b', 'd', 'e', 'g', 'h', 'j', 'k', 'm', 'n']]]</t>
  </si>
  <si>
    <t>[[['N'],['∅']],[['B','D','F','H','J','L'],['a','b','e','g','j','k','n']]]</t>
  </si>
  <si>
    <t>ABDEGHJKMN_{t+1}|BDFHJLN_{t}</t>
  </si>
  <si>
    <t>[[['G'],
['∅']],
[['A','B','D','E','H','J','K','M','N'],
['b','d','f','h','j','l','n']]]</t>
  </si>
  <si>
    <t>[[['G'],
['∅']],
[['A', 'B', 'D', 'E', 'H', 'J', 'K', 'M', 'N'],
['b', 'd', 'f', 'h', 'j', 'l', 'n']]]</t>
  </si>
  <si>
    <t>[[['G'],['∅']],[['A','B','D','E','H','J','K','M','N'],['d','h','l']]]</t>
  </si>
  <si>
    <t>ACEGIKMO_{t+1}|ACEGIKMO_{t}</t>
  </si>
  <si>
    <t>[[['O'],
['∅']],
[['A','C','E','G','I','K','M'],
['a','c','e','g','i','k','m','o']]]</t>
  </si>
  <si>
    <t>[[['E'],
['∅']],
[['A', 'C', 'G', 'I', 'K', 'M', 'O'],
['a', 'c', 'e', 'g', 'i', 'k', 'm', 'o']]]</t>
  </si>
  <si>
    <t>[[['E'],['∅']],[['A','C','G','I','K','M','O'],['a','e','i','m']]]</t>
  </si>
  <si>
    <t>ACEGIKMO_{t+1}|BDFHJLN_{t}</t>
  </si>
  <si>
    <t>[[['G'],
['∅']],
[['A','C','E','I','K','M','O'],
['b','d','f','h','j','l','n']]]</t>
  </si>
  <si>
    <t>[[['G'],
['∅']],
[['A', 'C', 'E', 'I', 'K', 'M', 'O'],
['b', 'd', 'f', 'h', 'j', 'l', 'n']]]</t>
  </si>
  <si>
    <t>[[['G'],['∅']],[['A','C','E','I','K','M','O'],['d','h','l']]]</t>
  </si>
  <si>
    <t>BDFHJLN_{t+1}|ACEGIKMO_{t}</t>
  </si>
  <si>
    <t>[[['L'],
['∅']],
[['B','D','F','H','J','N'],
['a','c','e','g','i','k','m','o']]]</t>
  </si>
  <si>
    <t>[[['L'],
['∅']],
[['B', 'D', 'F', 'H', 'J', 'N'],
['a', 'c', 'e', 'g', 'i', 'k', 'm', 'o']]]</t>
  </si>
  <si>
    <t>[[['L'],['∅']],[['B','D','F','H','J','N'],['a','e','i','m']]]</t>
  </si>
  <si>
    <t>BDFHJLN_{t+1}|BDFHJLN_{t}</t>
  </si>
  <si>
    <t>[[['N'],
['∅']],
[['B','D','F','H','J','L'],
['b','d','f','h','j','l','n']]]</t>
  </si>
  <si>
    <t>[[['N'],
['∅']],
[['B', 'D', 'F', 'H', 'J', 'L'],
['b', 'd', 'f', 'h', 'j', 'l', 'n']]]</t>
  </si>
  <si>
    <t>[[['N'],['∅']],[['B','D','F','H','J','L'],['d','h','l']]]</t>
  </si>
  <si>
    <t>tasa de acierto2</t>
  </si>
  <si>
    <t>[[['∅'],
['a']],
[['A', 'B', 'C', 'D', 'E', 'F', 'G', 'H', 'I', 'J', 'K', 'L', 'M', 'N', 'O'],
['b', 'c', 'd', 'e', 'f', 'g', 'h', 'i', 'j', 'k', 'l', 'm', 'n', 'o']]]</t>
  </si>
  <si>
    <t>[[['∅'],
['o']],
[['A', 'B', 'C', 'D', 'E', 'F', 'G', 'H', 'I', 'J', 'K', 'L', 'M', 'N', 'O'],
['a', 'b', 'c', 'd', 'e', 'f', 'g', 'h', 'i', 'j', 'k', 'l', 'm', 'n']]]</t>
  </si>
  <si>
    <t>[[['∅'],
['a']],
[['A', 'B', 'C', 'D', 'E', 'F', 'G', 'H', 'I', 'J', 'K', 'L', 'M', 'N', 'O'],
['b', 'c', 'd', 'e', 'f', 'g', 'h', 'i', 'j', 'k', 'l', 'm', 'n']]]</t>
  </si>
  <si>
    <t>[[['∅'],
['l']],
[['A', 'B', 'C', 'D', 'E', 'F', 'G', 'H', 'I', 'J', 'K', 'L', 'M', 'N', 'O'],
['a', 'b', 'c', 'd', 'e', 'f', 'g', 'h', 'i', 'j', 'k', 'm', 'n']]]</t>
  </si>
  <si>
    <t>[[['∅'],
['b']],
[['A', 'B', 'C', 'D', 'E', 'F', 'G', 'H', 'I', 'J', 'K', 'L', 'M', 'N', 'O'],
['c', 'd', 'e', 'f', 'g', 'h', 'i', 'j', 'k', 'l', 'm', 'n', 'o']]]</t>
  </si>
  <si>
    <t>[[['∅'],
['a']],
[['A', 'B', 'C', 'D', 'E', 'F', 'G', 'H', 'I', 'J', 'K', 'L', 'M', 'N'],
['b', 'c', 'd', 'e', 'f', 'g', 'h', 'i', 'j', 'k', 'l', 'm', 'n', 'o']]]</t>
  </si>
  <si>
    <t>[[['∅'],
['a']],
[['B', 'C', 'D', 'E', 'F', 'G', 'H', 'I', 'J', 'K', 'L', 'M', 'N', 'O'],
['b', 'c', 'd', 'e', 'f', 'g', 'h', 'i', 'j', 'k', 'l', 'm', 'n', 'o']]]</t>
  </si>
  <si>
    <t>[[['∅'],
['b']],
[['A', 'B', 'C', 'D', 'E', 'F', 'G', 'H', 'I', 'J', 'K', 'L', 'M', 'N', 'O'],
['c', 'd', 'e', 'f', 'g', 'h', 'i', 'j', 'k', 'l', 'm', 'n']]]</t>
  </si>
  <si>
    <t>[[['∅'],
['n']],
[['A', 'B', 'C', 'D', 'E', 'F', 'G', 'H', 'I', 'J', 'K', 'L', 'M', 'N', 'O'],
['b', 'c', 'd', 'e', 'f', 'g', 'h', 'i', 'j', 'k', 'l', 'm']]]</t>
  </si>
  <si>
    <t>[[['∅'],
['a']],
[['A', 'B', 'C', 'D', 'E', 'F', 'G', 'H', 'I', 'J', 'K', 'L', 'M', 'N'],
['b', 'c', 'd', 'e', 'f', 'g', 'h', 'i', 'j', 'k', 'l', 'm', 'n']]]</t>
  </si>
  <si>
    <t>[[['∅'],
['l']],
[['A', 'B', 'C', 'D', 'E', 'F', 'G', 'H', 'I', 'J', 'K', 'L', 'M', 'N'],
['a', 'b', 'c', 'd', 'e', 'f', 'g', 'h', 'i', 'j', 'k', 'm', 'n']]]</t>
  </si>
  <si>
    <t>[[['∅'],
['b']],
[['A', 'B', 'C', 'D', 'E', 'F', 'G', 'H', 'I', 'J', 'K', 'L', 'M', 'N'],
['c', 'd', 'e', 'f', 'g', 'h', 'i', 'j', 'k', 'l', 'm', 'n', 'o']]]</t>
  </si>
  <si>
    <t>[[['∅'],
['m']],
[['A', 'B', 'C', 'D', 'E', 'F', 'G', 'H', 'I', 'J', 'K', 'L', 'M', 'N'],
['b', 'c', 'd', 'e', 'f', 'g', 'h', 'i', 'j', 'k', 'l', 'n', 'o']]]</t>
  </si>
  <si>
    <t>[[['∅'],
['a']],
[['B', 'C', 'D', 'E', 'F', 'G', 'H', 'I', 'J', 'K', 'L', 'M', 'N', 'O'],
['b', 'c', 'd', 'e', 'f', 'g', 'h', 'i', 'j', 'k', 'l', 'm', 'n']]]</t>
  </si>
  <si>
    <t>[[['∅'],
['l']],
[['B', 'C', 'D', 'E', 'F', 'G', 'H', 'I', 'J', 'K', 'L', 'M', 'N', 'O'],
['a', 'b', 'c', 'd', 'e', 'f', 'g', 'h', 'i', 'j', 'k', 'm', 'n']]]</t>
  </si>
  <si>
    <t>[[['∅'],
['b']],
[['B', 'C', 'D', 'E', 'F', 'G', 'H', 'I', 'J', 'K', 'L', 'M', 'N', 'O'],
['c', 'd', 'e', 'f', 'g', 'h', 'i', 'j', 'k', 'l', 'm', 'n', 'o']]]</t>
  </si>
  <si>
    <t>[[['∅'],
['n']],
[['B', 'C', 'D', 'E', 'F', 'G', 'H', 'I', 'J', 'K', 'L', 'M', 'N', 'O'],
['b', 'c', 'd', 'e', 'f', 'g', 'h', 'i', 'j', 'k', 'l', 'm', 'o']]]</t>
  </si>
  <si>
    <t>[[['∅'],
['a']],
[['B', 'C', 'D', 'E', 'F', 'G', 'H', 'I', 'J', 'K', 'L', 'M', 'N'],
['b', 'c', 'd', 'e', 'f', 'g', 'h', 'i', 'j', 'k', 'l', 'm', 'n', 'o']]]</t>
  </si>
  <si>
    <t>[[['∅'],
['b']],
[['A', 'B', 'C', 'D', 'E', 'F', 'G', 'H', 'I', 'J', 'K', 'L', 'M', 'N'],
['c', 'd', 'e', 'f', 'g', 'h', 'i', 'j', 'k', 'l', 'm', 'n']]]</t>
  </si>
  <si>
    <t>[[['∅'],
['n']],
[['A', 'B', 'C', 'D', 'E', 'F', 'G', 'H', 'I', 'J', 'K', 'L', 'M', 'N'],
['b', 'c', 'd', 'e', 'f', 'g', 'h', 'i', 'j', 'k', 'l', 'm']]]</t>
  </si>
  <si>
    <t>[[['∅'],
['b']],
[['B', 'C', 'D', 'E', 'F', 'G', 'H', 'I', 'J', 'K', 'L', 'M', 'N', 'O'],
['c', 'd', 'e', 'f', 'g', 'h', 'i', 'j', 'k', 'l', 'm', 'n']]]</t>
  </si>
  <si>
    <t>[[['∅'],
['n']],
[['B', 'C', 'D', 'E', 'F', 'G', 'H', 'I', 'J', 'K', 'L', 'M', 'N', 'O'],
['b', 'c', 'd', 'e', 'f', 'g', 'h', 'i', 'j', 'k', 'l', 'm']]]</t>
  </si>
  <si>
    <t>[[['∅'],
['a']],
[['B', 'C', 'D', 'E', 'F', 'G', 'H', 'I', 'J', 'K', 'L', 'M', 'N'],
['b', 'c', 'd', 'e', 'f', 'g', 'h', 'i', 'j', 'k', 'l', 'm', 'n']]]</t>
  </si>
  <si>
    <t>[[['∅'],
['l']],
[['B', 'C', 'D', 'E', 'F', 'G', 'H', 'I', 'J', 'K', 'L', 'M', 'N'],
['a', 'b', 'c', 'd', 'e', 'f', 'g', 'h', 'i', 'j', 'k', 'm', 'n']]]</t>
  </si>
  <si>
    <t>[[['∅'],
['b']],
[['B', 'C', 'D', 'E', 'F', 'G', 'H', 'I', 'J', 'K', 'L', 'M', 'N'],
['c', 'd', 'e', 'f', 'g', 'h', 'i', 'j', 'k', 'l', 'm', 'n', 'o']]]</t>
  </si>
  <si>
    <t>[[['∅'],
['b']],
[['B', 'C', 'D', 'E', 'F', 'G', 'H', 'I', 'J', 'K', 'L', 'M', 'N'],
['c', 'd', 'e', 'f', 'g', 'h', 'i', 'j', 'k', 'l', 'm', 'n']]]</t>
  </si>
  <si>
    <t>[[['∅'],
['n']],
[['B', 'C', 'D', 'E', 'F', 'G', 'H', 'I', 'J', 'K', 'L', 'M', 'N'],
['b', 'c', 'd', 'e', 'f', 'g', 'h', 'i', 'j', 'k', 'l', 'm']]]</t>
  </si>
  <si>
    <t>[[['∅'],
['b']],
[['B', 'C', 'D', 'E', 'F', 'G', 'J', 'K', 'L', 'M', 'N', 'O'],
['c', 'd', 'e', 'f', 'g', 'h', 'i', 'j', 'k', 'l', 'm', 'n', 'o']]]</t>
  </si>
  <si>
    <t>[[['∅'],
['m']],
[['B', 'C', 'D', 'E', 'F', 'G', 'J', 'K', 'L', 'M', 'N', 'O'],
['b', 'c', 'd', 'e', 'f', 'g', 'h', 'i', 'j', 'k', 'l', 'n', 'o']]]</t>
  </si>
  <si>
    <t>[[['D'],
['∅']],
[['A', 'B', 'C', 'E', 'F', 'G', 'H', 'I', 'J', 'K', 'L', 'M', 'N', 'O'],
['a', 'b', 'd', 'e', 'g', 'h', 'j', 'k', 'm', 'n']]]</t>
  </si>
  <si>
    <t>[[['∅'],
['a']],
[['A', 'B', 'D', 'E', 'G', 'H', 'J', 'K', 'M', 'N'],
['b', 'c', 'd', 'e', 'f', 'g', 'h', 'i', 'j', 'k', 'l', 'm', 'n', 'o']]]</t>
  </si>
  <si>
    <t>[[['∅'],
['n']],
[['A', 'B', 'D', 'E', 'G', 'H', 'J', 'K', 'M', 'N'],
['a', 'b', 'c', 'd', 'e', 'f', 'g', 'h', 'i', 'j', 'k', 'l', 'm', 'o']]]</t>
  </si>
  <si>
    <t>[[['D'],
['∅']],
[['A', 'B', 'C', 'E', 'F', 'G', 'H', 'I', 'J', 'K', 'L', 'M', 'N'],
['a', 'b', 'd', 'e', 'g', 'h', 'j', 'k', 'm', 'n']]]</t>
  </si>
  <si>
    <t>[[['D'],
['∅']],
[['B', 'C', 'E', 'F', 'G', 'H', 'I', 'J', 'K', 'L', 'M', 'N', 'O'],
['a', 'b', 'd', 'e', 'g', 'h', 'j', 'k', 'm', 'n']]]</t>
  </si>
  <si>
    <t>[[['∅'],
['a']],
[['A', 'B', 'D', 'E', 'G', 'H', 'J', 'K', 'M', 'N'],
['b', 'c', 'd', 'e', 'f', 'g', 'h', 'i', 'j', 'k', 'l', 'm', 'n']]]</t>
  </si>
  <si>
    <t>[[['∅'],
['l']],
[['A', 'B', 'D', 'E', 'G', 'H', 'J', 'K', 'M', 'N'],
['a', 'b', 'c', 'd', 'e', 'f', 'g', 'h', 'i', 'j', 'k', 'm', 'n']]]</t>
  </si>
  <si>
    <t>[[['∅'],
['b']],
[['A', 'B', 'D', 'E', 'G', 'H', 'J', 'K', 'M', 'N'],
['c', 'd', 'e', 'f', 'g', 'h', 'i', 'j', 'k', 'l', 'm', 'n', 'o']]]</t>
  </si>
  <si>
    <t>[[['N'],
['∅']],
[['A', 'B', 'C', 'D', 'E', 'F', 'G', 'H', 'I', 'J', 'K', 'L', 'M', 'O'],
['a', 'c', 'e', 'g', 'i', 'k', 'm', 'o']]]</t>
  </si>
  <si>
    <t>[[['D'],
['∅']],
[['B', 'C', 'E', 'F', 'G', 'H', 'I', 'J', 'K', 'L', 'M', 'N'],
['a', 'b', 'd', 'e', 'g', 'h', 'j', 'k', 'm', 'n']]]</t>
  </si>
  <si>
    <t>[[['∅'],
['a']],
[['A', 'C', 'E', 'G', 'I', 'K', 'M', 'O'],
['b', 'c', 'd', 'e', 'f', 'g', 'h', 'i', 'j', 'k', 'l', 'm', 'n', 'o']]]</t>
  </si>
  <si>
    <t>[[['∅'],
['n']],
[['A', 'C', 'E', 'G', 'I', 'K', 'M', 'O'],
['a', 'b', 'c', 'd', 'e', 'f', 'g', 'h', 'i', 'j', 'k', 'l', 'm', 'o']]]</t>
  </si>
  <si>
    <t>[[['∅'],
['b']],
[['A', 'B', 'D', 'E', 'G', 'H', 'J', 'K', 'M', 'N'],
['c', 'd', 'e', 'f', 'g', 'h', 'i', 'j', 'k', 'l', 'm', 'n']]]</t>
  </si>
  <si>
    <t>[[['∅'],
['n']],
[['A', 'B', 'D', 'E', 'G', 'H', 'J', 'K', 'M', 'N'],
['b', 'c', 'd', 'e', 'f', 'g', 'h', 'i', 'j', 'k', 'l', 'm']]]</t>
  </si>
  <si>
    <t>[[['L'],
['∅']],
[['A', 'B', 'C', 'D', 'E', 'F', 'G', 'H', 'I', 'J', 'K', 'M', 'N', 'O'],
['b', 'd', 'f', 'h', 'j', 'l', 'n']]]</t>
  </si>
  <si>
    <t>[[['N'],
['∅']],
[['A', 'B', 'C', 'D', 'E', 'F', 'G', 'H', 'I', 'J', 'K', 'L', 'M'],
['a', 'c', 'e', 'g', 'i', 'k', 'm', 'o']]]</t>
  </si>
  <si>
    <t>[[['N'],
['∅']],
[['B', 'C', 'D', 'E', 'F', 'G', 'H', 'I', 'J', 'K', 'L', 'M', 'O'],
['a', 'c', 'e', 'g', 'i', 'k', 'm', 'o']]]</t>
  </si>
  <si>
    <t>[[['∅'],
['a']],
[['A', 'C', 'E', 'G', 'I', 'K', 'M', 'O'],
['b', 'c', 'd', 'e', 'f', 'g', 'h', 'i', 'j', 'k', 'l', 'm', 'n']]]</t>
  </si>
  <si>
    <t>[[['∅'],
['l']],
[['A', 'C', 'E', 'G', 'I', 'K', 'M', 'O'],
['a', 'b', 'c', 'd', 'e', 'f', 'g', 'h', 'i', 'j', 'k', 'm', 'n']]]</t>
  </si>
  <si>
    <t>[[['∅'],
['b']],
[['A', 'C', 'E', 'G', 'I', 'K', 'M', 'O'],
['c', 'd', 'e', 'f', 'g', 'h', 'i', 'j', 'k', 'l', 'm', 'n', 'o']]]</t>
  </si>
  <si>
    <t>[[['∅'],
['m']],
[['A', 'C', 'E', 'G', 'I', 'K', 'M', 'O'],
['b', 'c', 'd', 'e', 'f', 'g', 'h', 'i', 'j', 'k', 'l', 'n', 'o']]]</t>
  </si>
  <si>
    <t>[[['∅'],
['a']],
[['B', 'D', 'F', 'H', 'J', 'L', 'N'],
['b', 'c', 'd', 'e', 'f', 'g', 'h', 'i', 'j', 'k', 'l', 'm', 'n', 'o']]]</t>
  </si>
  <si>
    <t>[[['∅'],
['h']],
[['B', 'D', 'F', 'H', 'J', 'L', 'N'],
['a', 'b', 'c', 'd', 'e', 'f', 'g', 'i', 'j', 'k', 'l', 'm', 'n', 'o']]]</t>
  </si>
  <si>
    <t>[[['L'],
['∅']],
[['A', 'B', 'C', 'D', 'E', 'F', 'G', 'H', 'I', 'J', 'K', 'M', 'N'],
['b', 'd', 'f', 'h', 'j', 'l', 'n']]]</t>
  </si>
  <si>
    <t>[[['L'],
['∅']],
[['B', 'C', 'D', 'E', 'F', 'G', 'H', 'I', 'J', 'K', 'M', 'N', 'O'],
['b', 'd', 'f', 'h', 'j', 'l', 'n']]]</t>
  </si>
  <si>
    <t>[[['N'],
['∅']],
[['B', 'C', 'D', 'E', 'F', 'G', 'H', 'I', 'J', 'K', 'L', 'M'],
['a', 'c', 'e', 'g', 'i', 'k', 'm', 'o']]]</t>
  </si>
  <si>
    <t>[[['∅'],
['b']],
[['A', 'C', 'E', 'G', 'I', 'K', 'M', 'O'],
['c', 'd', 'e', 'f', 'g', 'h', 'i', 'j', 'k', 'l', 'm', 'n']]]</t>
  </si>
  <si>
    <t>[[['∅'],
['l']],
[['A', 'C', 'E', 'G', 'I', 'K', 'M', 'O'],
['b', 'c', 'd', 'e', 'f', 'g', 'h', 'i', 'j', 'k', 'm', 'n']]]</t>
  </si>
  <si>
    <t>[[['∅'],
['a']],
[['B', 'D', 'F', 'H', 'J', 'L', 'N'],
['b', 'c', 'd', 'e', 'f', 'g', 'h', 'i', 'j', 'k', 'l', 'm', 'n']]]</t>
  </si>
  <si>
    <t>[[['∅'],
['n']],
[['B', 'D', 'F', 'H', 'J', 'L', 'N'],
['a', 'b', 'c', 'd', 'e', 'f', 'g', 'h', 'i', 'j', 'k', 'l', 'm']]]</t>
  </si>
  <si>
    <t>[[['∅'],
['b']],
[['B', 'D', 'F', 'H', 'J', 'L', 'N'],
['c', 'd', 'e', 'f', 'g', 'h', 'i', 'j', 'k', 'l', 'm', 'n', 'o']]]</t>
  </si>
  <si>
    <t>[[['L'],
['∅']],
[['B', 'C', 'D', 'E', 'F', 'G', 'H', 'I', 'J', 'K', 'M', 'N'],
['b', 'd', 'f', 'h', 'j', 'l', 'n']]]</t>
  </si>
  <si>
    <t>[[['∅'],
['b']],
[['B', 'D', 'F', 'H', 'J', 'L', 'N'],
['c', 'd', 'e', 'f', 'g', 'h', 'i', 'j', 'k', 'l', 'm', 'n']]]</t>
  </si>
  <si>
    <t>[[['∅'],
['m']],
[['B', 'D', 'F', 'H', 'J', 'L', 'N'],
['b', 'c', 'd', 'e', 'f', 'g', 'h', 'i', 'j', 'k', 'l', 'n']]]</t>
  </si>
  <si>
    <t>[[['D'],
['∅']],
[['A', 'B', 'E', 'G', 'H', 'J', 'K', 'M', 'N'],
['a', 'b', 'd', 'e', 'g', 'h', 'j', 'k', 'm', 'n']]]</t>
  </si>
  <si>
    <t>[[['I'],
['∅']],
[['A', 'C', 'E', 'G', 'K', 'M', 'O'],
['a', 'b', 'd', 'e', 'g', 'h', 'j', 'k', 'm', 'n']]]</t>
  </si>
  <si>
    <t>[[['N'],
['∅']],
[['A', 'B', 'D', 'E', 'G', 'H', 'J', 'K', 'M'],
['a', 'c', 'e', 'g', 'i', 'k', 'm', 'o']]]</t>
  </si>
  <si>
    <t>[[['D'],
['∅']],
[['B', 'F', 'H', 'J', 'L', 'N'],
['a', 'b', 'd', 'e', 'g', 'h', 'j', 'k', 'm', 'n']]]</t>
  </si>
  <si>
    <t>[[['H'],
['∅']],
[['A', 'B', 'D', 'E', 'G', 'J', 'K', 'M', 'N'],
['b', 'd', 'f', 'h', 'j', 'l', 'n']]]</t>
  </si>
  <si>
    <t>[[['M'],
['∅']],
[['A', 'C', 'E', 'G', 'I', 'K', 'O'],
['a', 'c', 'e', 'g', 'i', 'k', 'm', 'o']]]</t>
  </si>
  <si>
    <t>[[['E'],
['∅']],
[['A', 'C', 'G', 'I', 'K', 'M', 'O'],
['b', 'd', 'f', 'h', 'j', 'l', 'n']]]</t>
  </si>
  <si>
    <t>[[['N'],
['∅']],
[['B', 'D', 'F', 'H', 'J', 'L'],
['a', 'c', 'e', 'g', 'i', 'k', 'm', 'o']]]</t>
  </si>
  <si>
    <t>[[['L'],
['∅']],
[['B', 'D', 'F', 'H', 'J', 'N'],
['b', 'd', 'f', 'h', 'j', 'l', 'n']]]</t>
  </si>
  <si>
    <t>Nº de Variables</t>
  </si>
  <si>
    <t>Casos probados</t>
  </si>
  <si>
    <t>Coincidencias</t>
  </si>
  <si>
    <t>Tasa de acierto (%)</t>
  </si>
  <si>
    <t>15A</t>
  </si>
  <si>
    <t>15B</t>
  </si>
  <si>
    <t>...</t>
  </si>
  <si>
    <t>Esta red deben generarla a partir de la ejecución del generador de TPMs, un método común en Manejador.</t>
  </si>
  <si>
    <t>ABCDEFGHIJKLMNOPQRST_{t+1}|ABCDEFGHIJKLMNOPQRST_{t}</t>
  </si>
  <si>
    <t>[[['S'],
['∅']],
[['A', 'B', 'C', 'D', 'E', 'F', 'G', 'H', 'I', 'J', 'K', 'L', 'M', 'N', 'O', 'P', 'Q', 'R', 'T'],
['a', 'b', 'c', 'd', 'e', 'f', 'g', 'h', 'i', 'j', 'k', 'l', 'm', 'n', 'o', 'p', 'q', 'r', 's', 't']]]</t>
  </si>
  <si>
    <t>[[['S'],['∅']],[['A','B','C','D','E','F','G','H','I','J','K','L','M','N','O','P','Q','R','T'],['a','b','c','d','e','f','g','h','i','j','k','l','m','n','o','p','q','r','s','t']]]</t>
  </si>
  <si>
    <t>ABCDEFGHIJKLMNOPQRST_{t+1}|ABCDEFGHIJKLMNOPQRS_{t}</t>
  </si>
  <si>
    <t>[[['G'],
['∅']],
[['A', 'B', 'C', 'D', 'E', 'F', 'H', 'I', 'J', 'K', 'L', 'M', 'N', 'O', 'P', 'Q', 'R', 'S', 'T'],
['a', 'b', 'c', 'd', 'e', 'f', 'g', 'h', 'i', 'j', 'k', 'l', 'm', 'n', 'o', 'p', 'q', 'r', 's']]]</t>
  </si>
  <si>
    <t>[[['G'],['∅']],[['A','B','C','D','E','F','H','I','J','K','L','M','N','O','P','Q','R','S','T'],['a','b','c','d','e','f','g','h','i','j','k','l','m','n','o','p','q','r','s']]]</t>
  </si>
  <si>
    <t>ABCDEFGHIJKLMNOPQRST_{t+1}|BCDEFGHIJKLMNOPQRST_{t}</t>
  </si>
  <si>
    <t>[[['R'],
['∅']],
[['A', 'B', 'C', 'D', 'E', 'F', 'G', 'H', 'I', 'J', 'K', 'L', 'M', 'N', 'O', 'P', 'Q', 'S', 'T'],
['b', 'c', 'd', 'e', 'f', 'g', 'h', 'i', 'j', 'k', 'l', 'm', 'n', 'o', 'p', 'q', 'r', 's', 't']]]</t>
  </si>
  <si>
    <t>[[['R'],['∅']],[['A','B','C','D','E','F','G','H','I','J','K','L','M','N','O','P','Q','S','T'],['c','d','e','f','g','h','i','j','k','l','m','n','o','p','q','r','s','t']]]</t>
  </si>
  <si>
    <t>ABCDEFGHIJKLMNOPQRS_{t+1}|ABCDEFGHIJKLMNOPQRST_{t}</t>
  </si>
  <si>
    <t>[[['S'],
['∅']],
[['A', 'B', 'C', 'D', 'E', 'F', 'G', 'H', 'I', 'J', 'K', 'L', 'M', 'N', 'O', 'P', 'Q', 'R'],
['a', 'b', 'c', 'd', 'e', 'f', 'g', 'h', 'i', 'j', 'k', 'l', 'm', 'n', 'o', 'p', 'q', 'r', 's', 't']]]</t>
  </si>
  <si>
    <t>[[['S'],['∅']],[['A','B','C','D','E','F','G','H','I','J','K','L','M','N','O','P','Q','R'],['a','b','c','d','e','f','g','h','i','j','k','l','m','n','o','p','q','r','s','t']]]</t>
  </si>
  <si>
    <t>BCDEFGHIJKLMNOPQRST_{t+1}|ABCDEFGHIJKLMNOPQRST_{t}</t>
  </si>
  <si>
    <t>[[['S'],
['∅']],
[['B', 'C', 'D', 'E', 'F', 'G', 'H', 'I', 'J', 'K', 'L', 'M', 'N', 'O', 'P', 'Q', 'R', 'T'],
['a', 'b', 'c', 'd', 'e', 'f', 'g', 'h', 'i', 'j', 'k', 'l', 'm', 'n', 'o', 'p', 'q', 'r', 's', 't']]]</t>
  </si>
  <si>
    <t>[[['S'],['∅']],[['B','C','D','E','F','G','H','I','J','K','L','M','N','O','P','Q','R','T'],['a','b','c','d','e','f','g','h','i','j','k','l','m','n','o','p','q','r','s','t']]]</t>
  </si>
  <si>
    <t>ABCDEFGHIJKLMNOPQRST_{t+1}|BCDEFGHIJKLMNOPQRS_{t}</t>
  </si>
  <si>
    <t>[[['L'],
['∅']],
[['A', 'B', 'C', 'D', 'E', 'F', 'G', 'H', 'I', 'J', 'K', 'M', 'N', 'O', 'P', 'Q', 'R', 'S', 'T'],
['b', 'c', 'd', 'e', 'f', 'g', 'h', 'i', 'j', 'k', 'l', 'm', 'n', 'o', 'p', 'q', 'r', 's']]]</t>
  </si>
  <si>
    <t>[[['L'],['∅']],[['A','B','C','D','E','F','G','H','I','J','K','M','N','O','P','Q','R','S','T'],['c','d','e','f','g','h','i','j','k','l','m','n','o','p','q','r','s']]]</t>
  </si>
  <si>
    <t>ABCDEFGHIJKLMNOPQRS_{t+1}|ABCDEFGHIJKLMNOPQRS_{t}</t>
  </si>
  <si>
    <t>[[['G'],
['∅']],
[['A', 'B', 'C', 'D', 'E', 'F', 'H', 'I', 'J', 'K', 'L', 'M', 'N', 'O', 'P', 'Q', 'R', 'S'],
['a', 'b', 'c', 'd', 'e', 'f', 'g', 'h', 'i', 'j', 'k', 'l', 'm', 'n', 'o', 'p', 'q', 'r', 's']]]</t>
  </si>
  <si>
    <t>[[['G'],['∅']],[['A','B','C','D','E','F','H','I','J','K','L','M','N','O','P','Q','R','S'],['a','b','c','d','e','f','g','h','i','j','k','l','m','n','o','p','q','r','s']]]</t>
  </si>
  <si>
    <t>ABCDEFGHIJKLMNOPQRS_{t+1}|BCDEFGHIJKLMNOPQRST_{t}</t>
  </si>
  <si>
    <t>[[['R'],
['∅']],
[['A', 'B', 'C', 'D', 'E', 'F', 'G', 'H', 'I', 'J', 'K', 'L', 'M', 'N', 'O', 'P', 'Q', 'S'],
['b', 'c', 'd', 'e', 'f', 'g', 'h', 'i', 'j', 'k', 'l', 'm', 'n', 'o', 'p', 'q', 'r', 's', 't']]]</t>
  </si>
  <si>
    <t>[[['R'],['∅']],[['A','B','C','D','E','F','G','H','I','J','K','L','M','N','O','P','Q','S'],['c','d','e','f','g','h','i','j','k','l','m','n','o','p','q','r','s','t']]]</t>
  </si>
  <si>
    <t>BCDEFGHIJKLMNOPQRST_{t+1}|ABCDEFGHIJKLMNOPQRS_{t}</t>
  </si>
  <si>
    <t>[[['G'],
['∅']],
[['B', 'C', 'D', 'E', 'F', 'H', 'I', 'J', 'K', 'L', 'M', 'N', 'O', 'P', 'Q', 'R', 'S', 'T'],
['a', 'b', 'c', 'd', 'e', 'f', 'g', 'h', 'i', 'j', 'k', 'l', 'm', 'n', 'o', 'p', 'q', 'r', 's']]]</t>
  </si>
  <si>
    <t>[[['G'],['∅']],[['B','C','D','E','F','H','I','J','K','L','M','N','O','P','Q','R','S','T'],['a','b','c','d','e','f','g','h','i','j','k','l','m','n','o','p','q','r','s']]]</t>
  </si>
  <si>
    <t>BCDEFGHIJKLMNOPQRST_{t+1}|BCDEFGHIJKLMNOPQRST_{t}</t>
  </si>
  <si>
    <t>[[['R'],
['∅']],
[['B', 'C', 'D', 'E', 'F', 'G', 'H', 'I', 'J', 'K', 'L', 'M', 'N', 'O', 'P', 'Q', 'S', 'T'],
['b', 'c', 'd', 'e', 'f', 'g', 'h', 'i', 'j', 'k', 'l', 'm', 'n', 'o', 'p', 'q', 'r', 's', 't']]]</t>
  </si>
  <si>
    <t>[[['R'],['∅']],[['B','C','D','E','F','G','H','I','J','K','L','M','N','O','P','Q','S','T'],['c','d','e','f','g','h','i','j','k','l','m','n','o','p','q','r','s','t']]]</t>
  </si>
  <si>
    <t>BCDEFGHIJKLMNOPQRS_{t+1}|ABCDEFGHIJKLMNOPQRST_{t}</t>
  </si>
  <si>
    <t>[[['S'],
['∅']],
[['B', 'C', 'D', 'E', 'F', 'G', 'H', 'I', 'J', 'K', 'L', 'M', 'N', 'O', 'P', 'Q', 'R'],
['a', 'b', 'c', 'd', 'e', 'f', 'g', 'h', 'i', 'j', 'k', 'l', 'm', 'n', 'o', 'p', 'q', 'r', 's', 't']]]</t>
  </si>
  <si>
    <t>[[['S'],['∅']],[['B','C','D','E','F','G','H','I','J','K','L','M','N','O','P','Q','R'],['a','b','c','d','e','f','g','h','i','j','k','l','m','n','o','p','q','r','s','t']]]</t>
  </si>
  <si>
    <t>ACDEFGHIJKLMNOPQRST_{t+1}|ACDEFGHIJKLMNOPQRST_{t}</t>
  </si>
  <si>
    <t>[[['Q'],
['∅']],
[['A', 'C', 'D', 'E', 'F', 'G', 'H', 'I', 'J', 'K', 'L', 'M', 'N', 'O', 'P', 'R', 'S', 'T'],
['a', 'c', 'd', 'e', 'f', 'g', 'h', 'i', 'j', 'k', 'l', 'm', 'n', 'o', 'p', 'q', 'r', 's', 't']]]</t>
  </si>
  <si>
    <t>[[['Q'],['∅']],[['A','C','D','E','F','G','H','I','J','K','L','M','N','O','P','R','S','T'],['a','d','e','f','g','h','i','j','k','l','m','n','o','p','q','r','s','t']]]</t>
  </si>
  <si>
    <t>ABCDEFGHIJKLMNOPQRS_{t+1}|BCDEFGHIJKLMNOPQRS_{t}</t>
  </si>
  <si>
    <t>[[['L'],
['∅']],
[['A', 'B', 'C', 'D', 'E', 'F', 'G', 'H', 'I', 'J', 'K', 'M', 'N', 'O', 'P', 'Q', 'R', 'S'],
['b', 'c', 'd', 'e', 'f', 'g', 'h', 'i', 'j', 'k', 'l', 'm', 'n', 'o', 'p', 'q', 'r', 's']]]</t>
  </si>
  <si>
    <t>[[['L'],['∅']],[['A','B','C','D','E','F','G','H','I','J','K','M','N','O','P','Q','R','S'],['c','d','e','f','g','h','i','j','k','l','m','n','o','p','q','r','s']]]</t>
  </si>
  <si>
    <t>BCDEFGHIJKLMNOPQRST_{t+1}|BCDEFGHIJKLMNOPQRS_{t}</t>
  </si>
  <si>
    <t>[[['L'],
['∅']],
[['B', 'C', 'D', 'E', 'F', 'G', 'H', 'I', 'J', 'K', 'M', 'N', 'O', 'P', 'Q', 'R', 'S', 'T'],
['b', 'c', 'd', 'e', 'f', 'g', 'h', 'i', 'j', 'k', 'l', 'm', 'n', 'o', 'p', 'q', 'r', 's']]]</t>
  </si>
  <si>
    <t>[[['L'],['∅']],[['B','C','D','E','F','G','H','I','J','K','M','N','O','P','Q','R','S','T'],['c','d','e','f','g','h','i','j','k','l','m','n','o','p','q','r','s']]]</t>
  </si>
  <si>
    <t>BCDEFGHIJKLMNOPQRS_{t+1}|ABCDEFGHIJKLMNOPQRS_{t}</t>
  </si>
  <si>
    <t>[[['G'],
['∅']],
[['B', 'C', 'D', 'E', 'F', 'H', 'I', 'J', 'K', 'L', 'M', 'N', 'O', 'P', 'Q', 'R', 'S'],
['a', 'b', 'c', 'd', 'e', 'f', 'g', 'h', 'i', 'j', 'k', 'l', 'm', 'n', 'o', 'p', 'q', 'r', 's']]]</t>
  </si>
  <si>
    <t>[[['G'],['∅']],[['B','C','D','E','F','H','I','J','K','L','M','N','O','P','Q','R','S'],['a','b','c','d','e','f','g','h','i','j','k','l','m','n','o','p','q','r','s']]]</t>
  </si>
  <si>
    <t>BCDEFGHIJKLMNOPQRS_{t+1}|BCDEFGHIJKLMNOPQRST_{t}</t>
  </si>
  <si>
    <t>[[['R'],
['∅']],
[['B', 'C', 'D', 'E', 'F', 'G', 'H', 'I', 'J', 'K', 'L', 'M', 'N', 'O', 'P', 'Q', 'S'],
['b', 'c', 'd', 'e', 'f', 'g', 'h', 'i', 'j', 'k', 'l', 'm', 'n', 'o', 'p', 'q', 'r', 's', 't']]]</t>
  </si>
  <si>
    <t>[[['R'],['∅']],[['B','C','D','E','F','G','H','I','J','K','L','M','N','O','P','Q','S'],['c','d','e','f','g','h','i','j','k','l','m','n','o','p','q','r','s','t']]]</t>
  </si>
  <si>
    <t>BCDEFGHIJKLMNOPQRS_{t+1}|BCDEFGHIJKLMNOPQRS_{t}</t>
  </si>
  <si>
    <t>[[['L'],
['∅']],
[['B', 'C', 'D', 'E', 'F', 'G', 'H', 'I', 'J', 'K', 'M', 'N', 'O', 'P', 'Q', 'R', 'S'],
['b', 'c', 'd', 'e', 'f', 'g', 'h', 'i', 'j', 'k', 'l', 'm', 'n', 'o', 'p', 'q', 'r', 's']]]</t>
  </si>
  <si>
    <t>[[['L'],['∅']],[['B','C','D','E','F','G','H','I','J','K','M','N','O','P','Q','R','S'],['c','d','e','f','g','h','i','j','k','l','m','n','o','p','q','r','s']]]</t>
  </si>
  <si>
    <t>ABCDEFGHIJKLMNOPQRST_{t+1}|ABDEGHJKMNPQST_{t}</t>
  </si>
  <si>
    <t>[[['N'],
['∅']],
[['A', 'B', 'C', 'D', 'E', 'F', 'G', 'H', 'I', 'J', 'K', 'L', 'M', 'O', 'P', 'Q', 'R', 'S', 'T'],
['a', 'b', 'd', 'e', 'g', 'h', 'j', 'k', 'm', 'n', 'p', 'q', 's', 't']]]</t>
  </si>
  <si>
    <t>[[['N'],['∅']],[['A','B','C','D','E','F','G','H','I','J','K','L','M','O','P','Q','R','S','T'],['a','b','e','g','j','k','n','p','s','t']]]</t>
  </si>
  <si>
    <t>ABDEGHJKMNPQST_{t+1}|ABCDEFGHIJKLMNOPQRST_{t}</t>
  </si>
  <si>
    <t>[[['S'],
['∅']],
[['A', 'B', 'D', 'E', 'G', 'H', 'J', 'K', 'M', 'N', 'P', 'Q', 'T'],
['a', 'b', 'c', 'd', 'e', 'f', 'g', 'h', 'i', 'j', 'k', 'l', 'm', 'n', 'o', 'p', 'q', 'r', 's', 't']]]</t>
  </si>
  <si>
    <t>[[['S'],['∅']],[['A','B','D','E','G','H','J','K','M','N','P','Q','T'],['a','b','c','d','e','f','g','h','i','j','k','l','m','n','o','p','q','r','s','t']]]</t>
  </si>
  <si>
    <t>ABCDEFGHIJKLMNOPQRS_{t+1}|ABDEGHJKMNPQST_{t}</t>
  </si>
  <si>
    <t>[[['N'],
['∅']],
[['A', 'B', 'C', 'D', 'E', 'F', 'G', 'H', 'I', 'J', 'K', 'L', 'M', 'O', 'P', 'Q', 'R', 'S'],
['a', 'b', 'd', 'e', 'g', 'h', 'j', 'k', 'm', 'n', 'p', 'q', 's', 't']]]</t>
  </si>
  <si>
    <t>[[['N'],['∅']],[['A','B','C','D','E','F','G','H','I','J','K','L','M','O','P','Q','R','S'],['a','b','e','g','j','k','n','p','s','t']]]</t>
  </si>
  <si>
    <t>BCDEFGHIJKLMNOPQRST_{t+1}|ABDEGHJKMNPQST_{t}</t>
  </si>
  <si>
    <t>[[['N'],
['∅']],
[['B', 'C', 'D', 'E', 'F', 'G', 'H', 'I', 'J', 'K', 'L', 'M', 'O', 'P', 'Q', 'R', 'S', 'T'],
['a', 'b', 'd', 'e', 'g', 'h', 'j', 'k', 'm', 'n', 'p', 'q', 's', 't']]]</t>
  </si>
  <si>
    <t>[[['N'],['∅']],[['B','C','D','E','F','G','H','I','J','K','L','M','O','P','Q','R','S','T'],['a','b','e','g','j','k','n','p','s','t']]]</t>
  </si>
  <si>
    <t>ABDEGHJKMNPQST_{t+1}|ABCDEFGHIJKLMNOPQRS_{t}</t>
  </si>
  <si>
    <t>[[['G'],
['∅']],
[['A', 'B', 'D', 'E', 'H', 'J', 'K', 'M', 'N', 'P', 'Q', 'S', 'T'],
['a', 'b', 'c', 'd', 'e', 'f', 'g', 'h', 'i', 'j', 'k', 'l', 'm', 'n', 'o', 'p', 'q', 'r', 's']]]</t>
  </si>
  <si>
    <t>[[['G'],['∅']],[['A','B','D','E','H','J','K','M','N','P','Q','S','T'],['a','b','c','d','e','f','g','h','i','j','k','l','m','n','o','p','q','r','s']]]</t>
  </si>
  <si>
    <t>ABDEGHJKMNPQST_{t+1}|BCDEFGHIJKLMNOPQRST_{t}</t>
  </si>
  <si>
    <t>[[['D'],
['∅']],
[['A', 'B', 'E', 'G', 'H', 'J', 'K', 'M', 'N', 'P', 'Q', 'S', 'T'],
['b', 'c', 'd', 'e', 'f', 'g', 'h', 'i', 'j', 'k', 'l', 'm', 'n', 'o', 'p', 'q', 'r', 's', 't']]]</t>
  </si>
  <si>
    <t>[[['D'],['∅']],[['A','B','E','G','H','J','K','M','N','P','Q','S','T'],['c','d','e','f','g','h','i','j','k','l','m','n','o','p','q','r','s','t']]]</t>
  </si>
  <si>
    <t>BCDEFGHIJKLMNOPQRS_{t+1}|ABDEGHJKMNPQST_{t}</t>
  </si>
  <si>
    <t>[[['N'],
['∅']],
[['B', 'C', 'D', 'E', 'F', 'G', 'H', 'I', 'J', 'K', 'L', 'M', 'O', 'P', 'Q', 'R', 'S'],
['a', 'b', 'd', 'e', 'g', 'h', 'j', 'k', 'm', 'n', 'p', 'q', 's', 't']]]</t>
  </si>
  <si>
    <t>[[['N'],['∅']],[['B','C','D','E','F','G','H','I','J','K','L','M','O','P','Q','R','S'],['a','b','e','g','j','k','n','p','s','t']]]</t>
  </si>
  <si>
    <t>ABDEGHJKMNPQST_{t+1}|BCDEFGHIJKLMNOPQRS_{t}</t>
  </si>
  <si>
    <t>[[['P'],
['∅']],
[['A', 'B', 'D', 'E', 'G', 'H', 'J', 'K', 'M', 'N', 'Q', 'S', 'T'],
['b', 'c', 'd', 'e', 'f', 'g', 'h', 'i', 'j', 'k', 'l', 'm', 'n', 'o', 'p', 'q', 'r', 's']]]</t>
  </si>
  <si>
    <t>[[['P'],['∅']],[['A','B','D','E','G','H','J','K','M','N','Q','S','T'],['c','d','e','f','g','h','i','j','k','l','m','n','o','p','q','r','s']]]</t>
  </si>
  <si>
    <t>ABCDEFGHIJKLMNOPQRST_{t+1}|ACEGIKMOQS_{t}</t>
  </si>
  <si>
    <t>[[['B'],
['∅']],
[['A', 'C', 'D', 'E', 'F', 'G', 'H', 'I', 'J', 'K', 'L', 'M', 'N', 'O', 'P', 'Q', 'R', 'S', 'T'],
['a', 'c', 'e', 'g', 'i', 'k', 'm', 'o', 'q', 's']]]</t>
  </si>
  <si>
    <t>[[['B'],['∅']],[['A','C','D','E','F','G','H','I','J','K','L','M','N','O','P','Q','R','S','T'],['a','e','i','m','q']]]</t>
  </si>
  <si>
    <t>ABCDEFGHIJKLMNOPQRST_{t+1}|BDFHJLNPRT_{t}</t>
  </si>
  <si>
    <t>[[['O'],
['∅']],
[['A', 'B', 'C', 'D', 'E', 'F', 'G', 'H', 'I', 'J', 'K', 'L', 'M', 'N', 'P', 'Q', 'R', 'S', 'T'],
['b', 'd', 'f', 'h', 'j', 'l', 'n', 'p', 'r', 't']]]</t>
  </si>
  <si>
    <t>[[['O'],['∅']],[['A','B','C','D','E','F','G','H','I','J','K','L','M','N','P','Q','R','S','T'],['d','h','l','p','t']]]</t>
  </si>
  <si>
    <t>ACEGIKMOQS_{t+1}|ABCDEFGHIJKLMNOPQRST_{t}</t>
  </si>
  <si>
    <t>[[['S'],
['∅']],
[['A', 'C', 'E', 'G', 'I', 'K', 'M', 'O', 'Q'],
['a', 'b', 'c', 'd', 'e', 'f', 'g', 'h', 'i', 'j', 'k', 'l', 'm', 'n', 'o', 'p', 'q', 'r', 's', 't']]]</t>
  </si>
  <si>
    <t>[[['S'],['∅']],[['A','C','E','G','I','K','M','O','Q'],['a','b','c','d','e','f','g','h','i','j','k','l','m','n','o','p','q','r','s','t']]]</t>
  </si>
  <si>
    <t>BDFHJLNPRT_{t+1}|ABCDEFGHIJKLMNOPQRST_{t}</t>
  </si>
  <si>
    <t>[[['T'],
['∅']],
[['B', 'D', 'F', 'H', 'J', 'L', 'N', 'P', 'R'],
['a', 'b', 'c', 'd', 'e', 'f', 'g', 'h', 'i', 'j', 'k', 'l', 'm', 'n', 'o', 'p', 'q', 'r', 's', 't']]]</t>
  </si>
  <si>
    <t>[[['T'],['∅']],[['B','D','F','H','J','L','N','P','R'],['a','b','c','d','e','f','g','h','i','j','k','l','m','n','o','p','q','r','s','t']]]</t>
  </si>
  <si>
    <t>ABCDEFGHIJKLMNOPQRS_{t+1}|ACEGIKMOQS_{t}</t>
  </si>
  <si>
    <t>[[['B'],
['∅']],
[['A', 'C', 'D', 'E', 'F', 'G', 'H', 'I', 'J', 'K', 'L', 'M', 'N', 'O', 'P', 'Q', 'R', 'S'],
['a', 'c', 'e', 'g', 'i', 'k', 'm', 'o', 'q', 's']]]</t>
  </si>
  <si>
    <t>[[['B'],['∅']],[['A','C','D','E','F','G','H','I','J','K','L','M','N','O','P','Q','R','S'],['a','e','i','m','q']]]</t>
  </si>
  <si>
    <t>ABCDEFGHIJKLMNOPQRS_{t+1}|BDFHJLNPRT_{t}</t>
  </si>
  <si>
    <t>[[['O'],
['∅']],
[['A', 'B', 'C', 'D', 'E', 'F', 'G', 'H', 'I', 'J', 'K', 'L', 'M', 'N', 'P', 'Q', 'R', 'S'],
['b', 'd', 'f', 'h', 'j', 'l', 'n', 'p', 'r', 't']]]</t>
  </si>
  <si>
    <t>[[['O'],['∅']],[['A','B','C','D','E','F','G','H','I','J','K','L','M','N','P','Q','R','S'],['d','h','l','p','t']]]</t>
  </si>
  <si>
    <t>BCDEFGHIJKLMNOPQRST_{t+1}|ACEGIKMOQS_{t}</t>
  </si>
  <si>
    <t>[[['B'],
['∅']],
[['C', 'D', 'E', 'F', 'G', 'H', 'I', 'J', 'K', 'L', 'M', 'N', 'O', 'P', 'Q', 'R', 'S', 'T'],
['a', 'c', 'e', 'g', 'i', 'k', 'm', 'o', 'q', 's']]]</t>
  </si>
  <si>
    <t>[[['B'],['∅']],[['C','D','E','F','G','H','I','J','K','L','M','N','O','P','Q','R','S','T'],['a','e','i','m','q']]]</t>
  </si>
  <si>
    <t>BCDEFGHIJKLMNOPQRST_{t+1}|BDFHJLNPRT_{t}</t>
  </si>
  <si>
    <t>[[['O'],
['∅']],
[['B', 'C', 'D', 'E', 'F', 'G', 'H', 'I', 'J', 'K', 'L', 'M', 'N', 'P', 'Q', 'R', 'S', 'T'],
['b', 'd', 'f', 'h', 'j', 'l', 'n', 'p', 'r', 't']]]</t>
  </si>
  <si>
    <t>[[['O'],['∅']],[['B','C','D','E','F','G','H','I','J','K','L','M','N','P','Q','R','S','T'],['d','h','l','p','t']]]</t>
  </si>
  <si>
    <t>ACEGIKMOQS_{t+1}|ABCDEFGHIJKLMNOPQRS_{t}</t>
  </si>
  <si>
    <t>[[['G'],
['∅']],
[['A', 'C', 'E', 'I', 'K', 'M', 'O', 'Q', 'S'],
['a', 'b', 'c', 'd', 'e', 'f', 'g', 'h', 'i', 'j', 'k', 'l', 'm', 'n', 'o', 'p', 'q', 'r', 's']]]</t>
  </si>
  <si>
    <t>[[['G'],['∅']],[['A','C','E','I','K','M','O','Q','S'],['a','b','c','d','e','f','g','h','i','j','k','l','m','n','o','p','q','r','s']]]</t>
  </si>
  <si>
    <t>ACEGIKMOQS_{t+1}|BCDEFGHIJKLMNOPQRST_{t}</t>
  </si>
  <si>
    <t>[[['O'],
['∅']],
[['A', 'C', 'E', 'G', 'I', 'K', 'M', 'Q', 'S'],
['b', 'c', 'd', 'e', 'f', 'g', 'h', 'i', 'j', 'k', 'l', 'm', 'n', 'o', 'p', 'q', 'r', 's', 't']]]</t>
  </si>
  <si>
    <t>[[['O'],['∅']],[['A','C','E','G','I','K','M','Q','S'],['c','d','e','f','g','h','i','j','k','l','m','n','o','p','q','r','s','t']]]</t>
  </si>
  <si>
    <t>BDFHJLNPRT_{t+1}|ABCDEFGHIJKLMNOPQRS_{t}</t>
  </si>
  <si>
    <t>[[['T'],
['∅']],
[['B', 'D', 'F', 'H', 'J', 'L', 'N', 'P', 'R'],
['a', 'b', 'c', 'd', 'e', 'f', 'g', 'h', 'i', 'j', 'k', 'l', 'm', 'n', 'o', 'p', 'q', 'r', 's']]]</t>
  </si>
  <si>
    <t>[[['T'],['∅']],[['B','D','F','H','J','L','N','P','R'],['a','b','c','d','e','f','g','h','i','j','k','l','m','n','o','p','q','r','s']]]</t>
  </si>
  <si>
    <t>BDFHJLNPRT_{t+1}|BCDEFGHIJKLMNOPQRST_{t}</t>
  </si>
  <si>
    <t>[[['R'],
['∅']],
[['B', 'D', 'F', 'H', 'J', 'L', 'N', 'P', 'T'],
['b', 'c', 'd', 'e', 'f', 'g', 'h', 'i', 'j', 'k', 'l', 'm', 'n', 'o', 'p', 'q', 'r', 's', 't']]]</t>
  </si>
  <si>
    <t>[[['R'],['∅']],[['B','D','F','H','J','L','N','P','T'],['c','d','e','f','g','h','i','j','k','l','m','n','o','p','q','r','s','t']]]</t>
  </si>
  <si>
    <t>BCDEFGHIJKLMNOPQRS_{t+1}|ACEGIKMOQS_{t}</t>
  </si>
  <si>
    <t>[[['B'],
['∅']],
[['C', 'D', 'E', 'F', 'G', 'H', 'I', 'J', 'K', 'L', 'M', 'N', 'O', 'P', 'Q', 'R', 'S'],
['a', 'c', 'e', 'g', 'i', 'k', 'm', 'o', 'q', 's']]]</t>
  </si>
  <si>
    <t>[[['B'],['∅']],[['C','D','E','F','G','H','I','J','K','L','M','N','O','P','Q','R','S'],['a','e','i','m','q']]]</t>
  </si>
  <si>
    <t>BCDEFGHIJKLMNOPQRS_{t+1}|BDFHJLNPRT_{t}</t>
  </si>
  <si>
    <t>[[['O'],
['∅']],
[['B', 'C', 'D', 'E', 'F', 'G', 'H', 'I', 'J', 'K', 'L', 'M', 'N', 'P', 'Q', 'R', 'S'],
['b', 'd', 'f', 'h', 'j', 'l', 'n', 'p', 'r', 't']]]</t>
  </si>
  <si>
    <t>[[['O'],['∅']],[['B','C','D','E','F','G','H','I','J','K','L','M','N','P','Q','R','S'],['d','h','l','p','t']]]</t>
  </si>
  <si>
    <t>ACEGIKMOQS_{t+1}|BCDEFGHIJKLMNOPQRS_{t}</t>
  </si>
  <si>
    <t>[[['C'],
['∅']],
[['A', 'E', 'G', 'I', 'K', 'M', 'O', 'Q', 'S'],
['b', 'c', 'd', 'e', 'f', 'g', 'h', 'i', 'j', 'k', 'l', 'm', 'n', 'o', 'p', 'q', 'r', 's']]]</t>
  </si>
  <si>
    <t>[[['C'],['∅']],[['A','E','G','I','K','M','O','Q','S'],['c','d','e','f','g','h','i','j','k','l','m','n','o','p','q','r','s']]]</t>
  </si>
  <si>
    <t>BDFHJLNPRT_{t+1}|BCDEFGHIJKLMNOPQRS_{t}</t>
  </si>
  <si>
    <t>[[['L'],
['∅']],
[['B', 'D', 'F', 'H', 'J', 'N', 'P', 'R', 'T'],
['b', 'c', 'd', 'e', 'f', 'g', 'h', 'i', 'j', 'k', 'l', 'm', 'n', 'o', 'p', 'q', 'r', 's']]]</t>
  </si>
  <si>
    <t>[[['L'],['∅']],[['B','D','F','H','J','N','P','R','T'],['c','d','e','f','g','h','i','j','k','l','m','n','o','p','q','r','s']]]</t>
  </si>
  <si>
    <t>ABDEGHJKMNPQST_{t+1}|ABDEGHJKMNPQST_{t}</t>
  </si>
  <si>
    <t>[[['N'],
['∅']],
[['A', 'B', 'D', 'E', 'G', 'H', 'J', 'K', 'M', 'P', 'Q', 'S', 'T'],
['a', 'b', 'd', 'e', 'g', 'h', 'j', 'k', 'm', 'n', 'p', 'q', 's', 't']]]</t>
  </si>
  <si>
    <t>[[['N'],['∅']],[['A','B','D','E','G','H','J','K','M','P','Q','S','T'],['a','b','e','g','j','k','n','p','s','t']]]</t>
  </si>
  <si>
    <t>ACEGIKMOQS_{t+1}|ABDEGHJKMNPQST_{t}</t>
  </si>
  <si>
    <t>[[['E'],
['∅']],
[['A', 'C', 'G', 'I', 'K', 'M', 'O', 'Q', 'S'],
['a', 'b', 'd', 'e', 'g', 'h', 'j', 'k', 'm', 'n', 'p', 'q', 's', 't']]]</t>
  </si>
  <si>
    <t>[[['E'],['∅']],[['A','C','G','I','K','M','O','Q','S'],['a','b','e','g','j','k','n','p','s','t']]]</t>
  </si>
  <si>
    <t>BDFHJLNPRT_{t+1}|ABDEGHJKMNPQST_{t}</t>
  </si>
  <si>
    <t>[[['N'],
['∅']],
[['B', 'D', 'F', 'H', 'J', 'L', 'P', 'R', 'T'],
['a', 'b', 'd', 'e', 'g', 'h', 'j', 'k', 'm', 'n', 'p', 'q', 's', 't']]]</t>
  </si>
  <si>
    <t>[[['N'],['∅']],[['B','D','F','H','J','L','P','R','T'],['a','b','e','g','j','k','n','p','s','t']]]</t>
  </si>
  <si>
    <t>ABDEGHJKMNPQST_{t+1}|ACEGIKMOQS_{t}</t>
  </si>
  <si>
    <t>[[['P'],
['∅']],
[['A', 'B', 'D', 'E', 'G', 'H', 'J', 'K', 'M', 'N', 'Q', 'S', 'T'],
['b', 'd', 'f', 'h', 'j', 'l', 'n', 'p', 'r', 't']]]</t>
  </si>
  <si>
    <t>[[['B'],
['∅']],
[['A', 'D', 'E', 'G', 'H', 'J', 'K', 'M', 'N', 'P', 'Q', 'S', 'T'],
['a', 'c', 'e', 'g', 'i', 'k', 'm', 'o', 'q', 's']]]</t>
  </si>
  <si>
    <t>[[['B'],['∅']],[['A','D','E','G','H','J','K','M','N','P','Q','S','T'],['a','e','i','m','q']]]</t>
  </si>
  <si>
    <t>ABDEGHJKMNPQST_{t+1}|BDFHJLNPRT_{t}</t>
  </si>
  <si>
    <t>[[['P'],['∅']],[['A','B','D','E','G','H','J','K','M','N','Q','S','T'],['d','h','l','p','t']]]</t>
  </si>
  <si>
    <t>ACEGIKMOQS_{t+1}|ACEGIKMOQS_{t}</t>
  </si>
  <si>
    <t>[[['C'],
['∅']],
[['A', 'E', 'G', 'I', 'K', 'M', 'O', 'Q', 'S'],
['a', 'c', 'e', 'g', 'i', 'k', 'm', 'o', 'q', 's']]]</t>
  </si>
  <si>
    <t>[[['C'],['∅']],[['A','E','G','I','K','M','O','Q','S'],['a','e','i','m','q']]]</t>
  </si>
  <si>
    <t>ACEGIKMOQS_{t+1}|BDFHJLNPRT_{t}</t>
  </si>
  <si>
    <t>[[['O'],
['∅']],
[['A', 'C', 'E', 'G', 'I', 'K', 'M', 'Q', 'S'],
['b', 'd', 'f', 'h', 'j', 'l', 'n', 'p', 'r', 't']]]</t>
  </si>
  <si>
    <t>[[['O'],['∅']],[['A','C','E','G','I','K','M','Q','S'],['d','h','l','p','t']]]</t>
  </si>
  <si>
    <t>BDFHJLNPRT_{t+1}|ACEGIKMOQS_{t}</t>
  </si>
  <si>
    <t>[[['B'],
['∅']],
[['D', 'F', 'H', 'J', 'L', 'N', 'P', 'R', 'T'],
['a', 'c', 'e', 'g', 'i', 'k', 'm', 'o', 'q', 's']]]</t>
  </si>
  <si>
    <t>[[['B'],['∅']],[['D','F','H','J','L','N','P','R','T'],['a','e','i','m','q']]]</t>
  </si>
  <si>
    <t>BDFHJLNPRT_{t+1}|BDFHJLNPRT_{t}</t>
  </si>
  <si>
    <t>[[['P'],
['∅']],
[['B', 'D', 'F', 'H', 'J', 'L', 'N', 'R', 'T'],
['b', 'd', 'f', 'h', 'j', 'l', 'n', 'p', 'r', 't']]]</t>
  </si>
  <si>
    <t>[[['P'],['∅']],[['B','D','F','H','J','L','N','R','T'],['d','h','l','p','t']]]</t>
  </si>
  <si>
    <t>Sistema: ABCDEFGHIJKLMNOPQRSTUV</t>
  </si>
  <si>
    <t>ABCDEFGHIJKLMNOPQRSTUV_{t+1}|ABCDEFGHIJKLMNOPQRSTUV_{t}</t>
  </si>
  <si>
    <t>[[["S"], ["∅"]], [["A", "B", "C", "D", "E", "F", "G", "H", "I", "J", "K", "L", "M", "N", "O", "P", "Q", "R", "T", "U", "V"], ["a", "b", "c", "d", "e", "f", "g", "h", "i", "j", "k", "l", "m", "n", "o", "p", "q", "r", "s", "t", "u", "v"]]]</t>
  </si>
  <si>
    <t>ABCDEFGHIKLMOPQRSTU_{t+1}|ABCDEFGHIJKLMNOQS_{t}</t>
  </si>
  <si>
    <t>[[["M"], ["∅"]], [["A", "B", "C", "D", "E", "F", "G", "H", "I", "K", "L", "O", "P", "Q", "R", "S", "T", "U"], ["a", "b", "c", "d", "e", "f", "g", "h", "i", "j", "k", "l", "m", "n", "o", "s"]]]</t>
  </si>
  <si>
    <t>BCDEFGHIJKLMNOPQRSTU_{t+1}|BCDEFGHIJKLMNOPQRS_{t}</t>
  </si>
  <si>
    <t>[[["B"], ["∅"]], [["C", "D", "E", "F", "G", "H", "I", "J", "K", "L", "M", "N", "O", "P", "Q", "R", "S", "T", "U"], ["c", "d", "e", "f", "g", "h", "i", "j", "k", "l", "m", "n", "o", "p", "q", "r", "s"]]]</t>
  </si>
  <si>
    <t>ABCDEFGHIPQRS_{t+1}|ABCDEFGJLMU_{t}</t>
  </si>
  <si>
    <t>[[["R"], ["∅"]], [["A", "B", "C", "D", "E", "F", "G", "H", "I", "P", "Q", "S"], ["a", "b", "c", "d", "e", "f", "g", "m"]]]</t>
  </si>
  <si>
    <t>CDFGHIJKLPQRST_{t+1}|DEFGHIKLMNST_{t}</t>
  </si>
  <si>
    <t>[[["D"], ["∅"]], [["C", "F", "G", "H", "I", "J", "K", "L", "P", "Q", "R", "S", "T"], ["g", "h", "i", "k", "l", "m", "s", "t"]]]</t>
  </si>
  <si>
    <t>Sistema: ABCDEFGHIJKLMNOPQRSTU</t>
  </si>
  <si>
    <t>ABCDEFGHIJKLMNOPQRSTU_{t+1}|ABCDEFGHIJKLMNOPQRSTU_{t}</t>
  </si>
  <si>
    <t>[[["R"], ["∅"]], [["A", "B", "C", "D", "E", "F", "G", "H", "I", "J", "K", "L", "M", "N", "O", "P", "Q", "S", "T", "U"], ["a", "b", "c", "d", "e", "f", "g", "h", "i", "j", "k", "l", "m", "n", "o", "p", "q", "r", "s", "t", "u"]]]</t>
  </si>
  <si>
    <t>ABCDEFGHIKLMOPQRST_{t+1}|ABCDEFGHIJKLMNOQS_{t}</t>
  </si>
  <si>
    <t>[[["K"], ["∅"]], [["A", "B", "C", "D", "E", "F", "G", "H", "I", "L", "M", "O", "P", "Q", "R", "S", "T"], ["a", "b", "c", "d", "e", "f", "g", "h", "i", "j", "k", "l", "m", "n", "o", "s"]]]</t>
  </si>
  <si>
    <t>ABCDEFGHIJKLMNOPQRST_{t+1}|BCDEFGHIJKLMNOPQR_{t}</t>
  </si>
  <si>
    <t>[[["I"], ["∅"]], [["A", "B", "C", "D", "E", "F", "G", "H", "J", "K", "L", "M", "N", "O", "P", "Q", "R", "S", "T"], ["c", "d", "e", "f", "g", "h", "i", "j", "k", "l", "m", "n", "o", "p", "q", "r"]]]</t>
  </si>
  <si>
    <t>ABCDEFGHIOPQRS_{t+1}|ABCDEFGJLMNT_{t}</t>
  </si>
  <si>
    <t>[[["P"], ["∅"]], [["A", "B", "C", "D", "E", "F", "G", "H", "I", "O", "Q", "R", "S"], ["a", "b", "c", "d", "e", "f", "g", "m", "t"]]]</t>
  </si>
  <si>
    <t>BCDFGHIJKLMNPQRST_{t+1}|ABCDEFGHIKLMNQRST_{t}</t>
  </si>
  <si>
    <t>[[["P"], ["∅"]], [["B", "C", "D", "F", "G", "H", "I", "J", "K", "L", "M", "N", "Q", "R", "S", "T"], ["a", "b", "c", "d", "e", "f", "g", "h", "i", "l", "m", "n", "q", "t"]]]</t>
  </si>
  <si>
    <t>Sistema: ABCDEFGHIJKLMNOPQRSTUVW</t>
  </si>
  <si>
    <t>ABCDEFGHIJKLMNOPQRSTUVW_{t+1}|ABCDEFGHIJKLMNOPQRSTUVW_{t}</t>
  </si>
  <si>
    <t>[[["P"], ["∅"]], [["A", "B", "C", "D", "E", "F", "G", "H", "I", "J", "K", "L", "M", "N", "O", "Q", "R", "S", "T", "U", "V", "W"], ["a", "b", "c", "d", "e", "f", "g", "h", "i", "j", "k", "l", "m", "n", "o", "p", "q", "r", "s", "t", "u", "v", "w"]]]</t>
  </si>
  <si>
    <t>ABCDEFGHIJKLMNOPQRSTUVW_{t+1}|ABCDEFGHIJKLMNOPQRSTUV_{t}</t>
  </si>
  <si>
    <t>[[["M"], ["∅"]], [["A", "B", "C", "D", "E", "F", "G", "H", "I", "J", "K", "L", "N", "O", "P", "Q", "R", "S", "T", "U", "V", "W"], ["a", "b", "c", "d", "e", "f", "g", "h", "i", "j", "k", "l", "m", "n", "o", "p", "q", "r", "s", "t", "u", "v"]]]</t>
  </si>
  <si>
    <t>ABCDEFGHIJKLMNOPQRSTUVW_{t+1}|BCDEFGHIJKLMNOPQRSTUVW_{t}</t>
  </si>
  <si>
    <t>[[["N"], ["∅"]], [["A", "B", "C", "D", "E", "F", "G", "H", "I", "J", "K", "L", "M", "O", "P", "Q", "R", "S", "T", "U", "V", "W"], ["c", "d", "e", "f", "g", "h", "i", "j", "k", "l", "m", "n", "o", "p", "q", "r", "s", "t", "u", "v", "w"]]]</t>
  </si>
  <si>
    <t>ABCDEFGHIJKLMNOPQRSTUV_{t+1}|ABCDEFGHIJKLMNOPQRSTUVW_{t}</t>
  </si>
  <si>
    <t>[[["P"], ["∅"]], [["A", "B", "C", "D", "E", "F", "G", "H", "I", "J", "K", "L", "M", "N", "O", "Q", "R", "S", "T", "U", "V"], ["a", "b", "c", "d", "e", "f", "g", "h", "i", "j", "k", "l", "m", "n", "o", "p", "q", "r", "s", "t", "u", "v", "w"]]]</t>
  </si>
  <si>
    <t>BCDEFGHIJKLMNOPQRSTUVW_{t+1}|ABCDEFGHIJKLMNOPQRSTUVW_{t}</t>
  </si>
  <si>
    <t>[[["P"], ["∅"]], [["B", "C", "D", "E", "F", "G", "H", "I", "J", "K", "L", "M", "N", "O", "Q", "R", "S", "T", "U", "V", "W"], ["a", "b", "c", "d", "e", "f", "g", "h", "i", "j", "k", "l", "m", "n", "o", "p", "q", "r", "s", "t", "u", "v", "w"]]]</t>
  </si>
  <si>
    <t>ABCDEFGHIJKLMNOPQRSTUVW_{t+1}|CDEFGHIJKLMNOPQRSTUVW_{t}</t>
  </si>
  <si>
    <t>[[["G"], ["∅"]], [["A", "B", "C", "D", "E", "F", "H", "I", "J", "K", "L", "M", "N", "O", "P", "Q", "R", "S", "T", "U", "V", "W"], ["e", "f", "g", "h", "i", "j", "k", "l", "m", "n", "o", "p", "q", "r", "s", "t", "u", "v", "w"]]]</t>
  </si>
  <si>
    <t>ABCDEFGHIJKLMNOPQRSTUV_{t+1}|ABCDEFGHIJKLMNPQRSTUV_{t}</t>
  </si>
  <si>
    <t>[[["M"], ["∅"]], [["A", "B", "C", "D", "E", "F", "G", "H", "I", "J", "K", "L", "N", "O", "P", "Q", "R", "S", "T", "U", "V"], ["a", "b", "c", "d", "e", "f", "g", "h", "i", "j", "k", "l", "m", "n", "q", "r", "s", "t", "u", "v"]]]</t>
  </si>
  <si>
    <t>BCDEFGHIJKLMNOPQRSTUVW_{t+1}|BCDEFGHIJKLMNOPQRSTUVW_{t}</t>
  </si>
  <si>
    <t>[[["N"], ["∅"]], [["B", "C", "D", "E", "F", "G", "H", "I", "J", "K", "L", "M", "O", "P", "Q", "R", "S", "T", "U", "V", "W"], ["c", "d", "e", "f", "g", "h", "i", "j", "k", "l", "m", "n", "o", "p", "q", "r", "s", "t", "u", "v", "w"]]]</t>
  </si>
  <si>
    <t>BCDEFGHIJKLMNOPQRSTUVW_{t+1}|CDEFGHIJKLMNOPQRSTUVW_{t}</t>
  </si>
  <si>
    <t>[[["G"], ["∅"]], [["B", "C", "D", "E", "F", "H", "I", "J", "K", "L", "M", "N", "O", "P", "Q", "R", "S", "T", "U", "V", "W"], ["e", "f", "g", "h", "i", "j", "k", "l", "m", "n", "o", "p", "q", "r", "s", "t", "u", "v", "w"]]]</t>
  </si>
  <si>
    <t>GeoMIP</t>
  </si>
  <si>
    <t>se calculo con respecto a pyphi</t>
  </si>
  <si>
    <t>EstrategiaQ</t>
  </si>
  <si>
    <t>subsistema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</si>
</sst>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Calibri"/>
      <scheme val="minor"/>
    </font>
    <font>
      <sz val="10"/>
      <color rgb="FF000000"/>
      <name val="Fira Code"/>
    </font>
    <font>
      <b/>
      <sz val="16"/>
      <color rgb="FF000000"/>
      <name val="Fira Code"/>
    </font>
    <font>
      <sz val="11"/>
      <name val="Calibri"/>
    </font>
    <font>
      <b/>
      <sz val="14"/>
      <color rgb="FF000000"/>
      <name val="Fira Code"/>
    </font>
    <font>
      <b/>
      <sz val="11"/>
      <color rgb="FF000000"/>
      <name val="Fira Code"/>
    </font>
    <font>
      <b/>
      <sz val="9"/>
      <color rgb="FF000000"/>
      <name val="Fira Code"/>
    </font>
    <font>
      <sz val="11"/>
      <color theme="1"/>
      <name val="Calibri"/>
      <scheme val="minor"/>
    </font>
    <font>
      <b/>
      <sz val="11"/>
      <color rgb="FF000000"/>
      <name val="Arial"/>
    </font>
    <font>
      <sz val="11"/>
      <color theme="1"/>
      <name val="Fira Code"/>
    </font>
    <font>
      <sz val="11"/>
      <color rgb="FF000000"/>
      <name val="Fira Code"/>
    </font>
    <font>
      <u/>
      <sz val="10"/>
      <color rgb="FF000000"/>
      <name val="Fira Code"/>
    </font>
    <font>
      <sz val="10"/>
      <color rgb="FF000000"/>
      <name val="Arial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0"/>
      <color rgb="FF000000"/>
      <name val="Fira Code"/>
    </font>
    <font>
      <sz val="10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4C2F4"/>
        <bgColor rgb="FFA4C2F4"/>
      </patternFill>
    </fill>
    <fill>
      <patternFill patternType="solid">
        <fgColor rgb="FFE5DFEC"/>
        <bgColor rgb="FFE5DFEC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center"/>
    </xf>
    <xf numFmtId="0" fontId="7" fillId="0" borderId="0" xfId="0" applyFont="1"/>
    <xf numFmtId="0" fontId="5" fillId="7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3" fontId="5" fillId="3" borderId="11" xfId="0" applyNumberFormat="1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9" fillId="0" borderId="0" xfId="0" applyFont="1"/>
    <xf numFmtId="0" fontId="1" fillId="0" borderId="15" xfId="0" applyFont="1" applyBorder="1" applyAlignment="1">
      <alignment horizontal="left"/>
    </xf>
    <xf numFmtId="3" fontId="1" fillId="0" borderId="15" xfId="0" applyNumberFormat="1" applyFont="1" applyBorder="1" applyAlignment="1">
      <alignment horizontal="left"/>
    </xf>
    <xf numFmtId="0" fontId="9" fillId="0" borderId="15" xfId="0" applyFont="1" applyBorder="1"/>
    <xf numFmtId="0" fontId="10" fillId="0" borderId="17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8" fillId="8" borderId="11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8" fillId="5" borderId="12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4" fillId="7" borderId="10" xfId="0" applyFont="1" applyFill="1" applyBorder="1" applyAlignment="1">
      <alignment horizontal="left"/>
    </xf>
    <xf numFmtId="0" fontId="14" fillId="3" borderId="11" xfId="0" applyFont="1" applyFill="1" applyBorder="1" applyAlignment="1">
      <alignment horizontal="left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9" fontId="16" fillId="0" borderId="0" xfId="0" applyNumberFormat="1" applyFont="1" applyAlignment="1">
      <alignment vertical="center" wrapText="1"/>
    </xf>
    <xf numFmtId="0" fontId="12" fillId="7" borderId="15" xfId="0" applyFont="1" applyFill="1" applyBorder="1" applyAlignment="1">
      <alignment horizontal="left"/>
    </xf>
    <xf numFmtId="0" fontId="17" fillId="6" borderId="22" xfId="0" applyFont="1" applyFill="1" applyBorder="1" applyAlignment="1">
      <alignment horizontal="center"/>
    </xf>
    <xf numFmtId="0" fontId="14" fillId="7" borderId="23" xfId="0" applyFont="1" applyFill="1" applyBorder="1" applyAlignment="1">
      <alignment horizontal="left"/>
    </xf>
    <xf numFmtId="0" fontId="8" fillId="3" borderId="24" xfId="0" applyFont="1" applyFill="1" applyBorder="1" applyAlignment="1">
      <alignment horizontal="left"/>
    </xf>
    <xf numFmtId="3" fontId="8" fillId="3" borderId="24" xfId="0" applyNumberFormat="1" applyFont="1" applyFill="1" applyBorder="1" applyAlignment="1">
      <alignment horizontal="left"/>
    </xf>
    <xf numFmtId="0" fontId="8" fillId="9" borderId="24" xfId="0" applyFont="1" applyFill="1" applyBorder="1" applyAlignment="1">
      <alignment horizontal="left"/>
    </xf>
    <xf numFmtId="0" fontId="8" fillId="4" borderId="10" xfId="0" applyFont="1" applyFill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6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4" borderId="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5" fillId="6" borderId="2" xfId="0" applyFont="1" applyFill="1" applyBorder="1" applyAlignment="1">
      <alignment horizontal="center"/>
    </xf>
    <xf numFmtId="0" fontId="3" fillId="0" borderId="8" xfId="0" applyFont="1" applyBorder="1"/>
    <xf numFmtId="0" fontId="13" fillId="3" borderId="2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3" fillId="0" borderId="20" xfId="0" applyFont="1" applyBorder="1"/>
    <xf numFmtId="0" fontId="3" fillId="0" borderId="14" xfId="0" applyFont="1" applyBorder="1"/>
    <xf numFmtId="0" fontId="4" fillId="4" borderId="16" xfId="0" applyFont="1" applyFill="1" applyBorder="1" applyAlignment="1">
      <alignment horizontal="center"/>
    </xf>
    <xf numFmtId="0" fontId="13" fillId="9" borderId="16" xfId="0" applyFont="1" applyFill="1" applyBorder="1" applyAlignment="1">
      <alignment horizontal="center"/>
    </xf>
    <xf numFmtId="0" fontId="3" fillId="0" borderId="21" xfId="0" applyFont="1" applyBorder="1"/>
    <xf numFmtId="0" fontId="5" fillId="6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Fira Code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Fira Code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Fira Code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2">
    <tableStyle name="10 elementos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10 elementos-style 2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10 elementos-style 3" pivot="0" count="4" xr9:uid="{00000000-0011-0000-FFFF-FFFF02000000}">
      <tableStyleElement type="headerRow" dxfId="36"/>
      <tableStyleElement type="totalRow" dxfId="33"/>
      <tableStyleElement type="firstRowStripe" dxfId="35"/>
      <tableStyleElement type="secondRowStripe" dxfId="34"/>
    </tableStyle>
    <tableStyle name="15A elementos-style" pivot="0" count="3" xr9:uid="{00000000-0011-0000-FFFF-FFFF03000000}">
      <tableStyleElement type="headerRow" dxfId="32"/>
      <tableStyleElement type="firstRowStripe" dxfId="31"/>
      <tableStyleElement type="secondRowStripe" dxfId="30"/>
    </tableStyle>
    <tableStyle name="15A elementos-style 2" pivot="0" count="3" xr9:uid="{00000000-0011-0000-FFFF-FFFF04000000}">
      <tableStyleElement type="headerRow" dxfId="29"/>
      <tableStyleElement type="firstRowStripe" dxfId="28"/>
      <tableStyleElement type="secondRowStripe" dxfId="27"/>
    </tableStyle>
    <tableStyle name="15A elementos-style 3" pivot="0" count="4" xr9:uid="{00000000-0011-0000-FFFF-FFFF05000000}">
      <tableStyleElement type="headerRow" dxfId="26"/>
      <tableStyleElement type="totalRow" dxfId="23"/>
      <tableStyleElement type="firstRowStripe" dxfId="25"/>
      <tableStyleElement type="secondRowStripe" dxfId="24"/>
    </tableStyle>
    <tableStyle name="15B elementos-style" pivot="0" count="3" xr9:uid="{00000000-0011-0000-FFFF-FFFF06000000}">
      <tableStyleElement type="headerRow" dxfId="22"/>
      <tableStyleElement type="firstRowStripe" dxfId="21"/>
      <tableStyleElement type="secondRowStripe" dxfId="20"/>
    </tableStyle>
    <tableStyle name="15B elementos-style 2" pivot="0" count="3" xr9:uid="{00000000-0011-0000-FFFF-FFFF07000000}">
      <tableStyleElement type="headerRow" dxfId="19"/>
      <tableStyleElement type="firstRowStripe" dxfId="18"/>
      <tableStyleElement type="secondRowStripe" dxfId="17"/>
    </tableStyle>
    <tableStyle name="15B elementos-style 3" pivot="0" count="4" xr9:uid="{00000000-0011-0000-FFFF-FFFF08000000}">
      <tableStyleElement type="headerRow" dxfId="16"/>
      <tableStyleElement type="totalRow" dxfId="13"/>
      <tableStyleElement type="firstRowStripe" dxfId="15"/>
      <tableStyleElement type="secondRowStripe" dxfId="14"/>
    </tableStyle>
    <tableStyle name="15B elementos-style 4" pivot="0" count="3" xr9:uid="{00000000-0011-0000-FFFF-FFFF09000000}">
      <tableStyleElement type="headerRow" dxfId="12"/>
      <tableStyleElement type="firstRowStripe" dxfId="11"/>
      <tableStyleElement type="secondRowStripe" dxfId="10"/>
    </tableStyle>
    <tableStyle name="20elementos-style" pivot="0" count="3" xr9:uid="{00000000-0011-0000-FFFF-FFFF0A000000}">
      <tableStyleElement type="headerRow" dxfId="9"/>
      <tableStyleElement type="firstRowStripe" dxfId="8"/>
      <tableStyleElement type="secondRowStripe" dxfId="7"/>
    </tableStyle>
    <tableStyle name="20elementos-style 2" pivot="0" count="4" xr9:uid="{00000000-0011-0000-FFFF-FFFF0B000000}">
      <tableStyleElement type="headerRow" dxfId="6"/>
      <tableStyleElement type="totalRow" dxfId="3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Tiempo geometry vs pyphi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Qnode actual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'10 elementos'!$A$3:$A$52</c:f>
              <c:strCache>
                <c:ptCount val="50"/>
                <c:pt idx="0">
                  <c:v>ABCDEFGHIJ_{t+1}|ABCDEFGHIJ_{t}</c:v>
                </c:pt>
                <c:pt idx="1">
                  <c:v>ABCDEFGHIJ_{t+1}|ABCDEFGHI_{t}</c:v>
                </c:pt>
                <c:pt idx="2">
                  <c:v>ABCDEFGHIJ_{t+1}|BCDEFGHIJ_{t}</c:v>
                </c:pt>
                <c:pt idx="3">
                  <c:v>ABCDEFGHI_{t+1}|ABCDEFGHIJ_{t}</c:v>
                </c:pt>
                <c:pt idx="4">
                  <c:v>BCDEFGHIJ_{t+1}|ABCDEFGHIJ_{t}</c:v>
                </c:pt>
                <c:pt idx="5">
                  <c:v>ABCDEFGHIJ_{t+1}|BCDEFGHI_{t}</c:v>
                </c:pt>
                <c:pt idx="6">
                  <c:v>ABCDEFGHI_{t+1}|ABCDEFGHI_{t}</c:v>
                </c:pt>
                <c:pt idx="7">
                  <c:v>ABCDEFGHI_{t+1}|BCDEFGHIJ_{t}</c:v>
                </c:pt>
                <c:pt idx="8">
                  <c:v>BCDEFGHIJ_{t+1}|ABCDEFGHI_{t}</c:v>
                </c:pt>
                <c:pt idx="9">
                  <c:v>BCDEFGHIJ_{t+1}|BCDEFGHIJ_{t}</c:v>
                </c:pt>
                <c:pt idx="10">
                  <c:v>BCDEFGHI_{t+1}|ABCDEFGHIJ_{t}</c:v>
                </c:pt>
                <c:pt idx="11">
                  <c:v>ABCDEFGHIJ_{t+1}|ABDEGHJ_{t}</c:v>
                </c:pt>
                <c:pt idx="12">
                  <c:v>ABCDEFGHI_{t+1}|BCDEFGHI_{t}</c:v>
                </c:pt>
                <c:pt idx="13">
                  <c:v>BCDEFGHIJ_{t+1}|BCDEFGHI_{t}</c:v>
                </c:pt>
                <c:pt idx="14">
                  <c:v>BCDEFGHI_{t+1}|ABCDEFGHI_{t}</c:v>
                </c:pt>
                <c:pt idx="15">
                  <c:v>BCDEFGHI_{t+1}|BCDEFGHIJ_{t}</c:v>
                </c:pt>
                <c:pt idx="16">
                  <c:v>ABDEGHJ_{t+1}|ABCDEFGHIJ_{t}</c:v>
                </c:pt>
                <c:pt idx="17">
                  <c:v>ABCDEFGHI_{t+1}|ABDEGHJ_{t}</c:v>
                </c:pt>
                <c:pt idx="18">
                  <c:v>BCDEFGHIJ_{t+1}|ABDEGHJ_{t}</c:v>
                </c:pt>
                <c:pt idx="19">
                  <c:v>BCDEFGHI_{t+1}|BCDEFGHI_{t}</c:v>
                </c:pt>
                <c:pt idx="20">
                  <c:v>ABDEGHJ_{t+1}|ABCDEFGHI_{t}</c:v>
                </c:pt>
                <c:pt idx="21">
                  <c:v>ABDEGHJ_{t+1}|BCDEFGHIJ_{t}</c:v>
                </c:pt>
                <c:pt idx="22">
                  <c:v>BCDEFGJ_{t+1}|BCDEFGHIJ_{t}</c:v>
                </c:pt>
                <c:pt idx="23">
                  <c:v>ABCDEFGHIJ_{t+1}|ACEGI_{t}</c:v>
                </c:pt>
                <c:pt idx="24">
                  <c:v>ABCDEFGHIJ_{t+1}|BDFHJ_{t}</c:v>
                </c:pt>
                <c:pt idx="25">
                  <c:v>BCDEFGHI_{t+1}|ABDEGHJ_{t}</c:v>
                </c:pt>
                <c:pt idx="26">
                  <c:v>ACEGI_{t+1}|ABCDEFGHIJ_{t}</c:v>
                </c:pt>
                <c:pt idx="27">
                  <c:v>BDFHJ_{t+1}|ABCDEFGHIJ_{t}</c:v>
                </c:pt>
                <c:pt idx="28">
                  <c:v>ABDEGHJ_{t+1}|BCDEFGHI_{t}</c:v>
                </c:pt>
                <c:pt idx="29">
                  <c:v>ABCDEFGHI_{t+1}|ACEGI_{t}</c:v>
                </c:pt>
                <c:pt idx="30">
                  <c:v>ABCDEFGHI_{t+1}|BDFHJ_{t}</c:v>
                </c:pt>
                <c:pt idx="31">
                  <c:v>BCDEFGHIJ_{t+1}|ACEGI_{t}</c:v>
                </c:pt>
                <c:pt idx="32">
                  <c:v>BCDEFGHIJ_{t+1}|BDFHJ_{t}</c:v>
                </c:pt>
                <c:pt idx="33">
                  <c:v>ACEGI_{t+1}|ABCDEFGHI_{t}</c:v>
                </c:pt>
                <c:pt idx="34">
                  <c:v>ACEGI_{t+1}|BCDEFGHIJ_{t}</c:v>
                </c:pt>
                <c:pt idx="35">
                  <c:v>BDFHJ_{t+1}|ABCDEFGHI_{t}</c:v>
                </c:pt>
                <c:pt idx="36">
                  <c:v>BDFHJ_{t+1}|BCDEFGHIJ_{t}</c:v>
                </c:pt>
                <c:pt idx="37">
                  <c:v>ABDEGHJ_{t+1}|ABDEGHJ_{t}</c:v>
                </c:pt>
                <c:pt idx="38">
                  <c:v>BCDEFGHI_{t+1}|ACEGI_{t}</c:v>
                </c:pt>
                <c:pt idx="39">
                  <c:v>BCDEFGHI_{t+1}|BDFHJ_{t}</c:v>
                </c:pt>
                <c:pt idx="40">
                  <c:v>ACEGI_{t+1}|BCDEFGHI_{t}</c:v>
                </c:pt>
                <c:pt idx="41">
                  <c:v>BDFHJ_{t+1}|BCDEFGHI_{t}</c:v>
                </c:pt>
                <c:pt idx="42">
                  <c:v>ACEGI_{t+1}|ABDEGHJ_{t}</c:v>
                </c:pt>
                <c:pt idx="43">
                  <c:v>BDFHJ_{t+1}|ABDEGHJ_{t}</c:v>
                </c:pt>
                <c:pt idx="44">
                  <c:v>ABDEGHJ_{t+1}|ACEGI_{t}</c:v>
                </c:pt>
                <c:pt idx="45">
                  <c:v>ABDEGHJ_{t+1}|BDFHJ_{t}</c:v>
                </c:pt>
                <c:pt idx="46">
                  <c:v>ACEGI_{t+1}|ACEGI_{t}</c:v>
                </c:pt>
                <c:pt idx="47">
                  <c:v>ACEGI_{t+1}|BDFHJ_{t}</c:v>
                </c:pt>
                <c:pt idx="48">
                  <c:v>BDFHJ_{t+1}|ACEGI_{t}</c:v>
                </c:pt>
                <c:pt idx="49">
                  <c:v>BDFHJ_{t+1}|BDFHJ_{t}</c:v>
                </c:pt>
              </c:strCache>
            </c:strRef>
          </c:cat>
          <c:val>
            <c:numRef>
              <c:f>'10 elementos'!#REF!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C7-4950-BB26-D18355A5B536}"/>
            </c:ext>
          </c:extLst>
        </c:ser>
        <c:ser>
          <c:idx val="1"/>
          <c:order val="1"/>
          <c:tx>
            <c:v>Geometry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'10 elementos'!$A$3:$A$52</c:f>
              <c:strCache>
                <c:ptCount val="50"/>
                <c:pt idx="0">
                  <c:v>ABCDEFGHIJ_{t+1}|ABCDEFGHIJ_{t}</c:v>
                </c:pt>
                <c:pt idx="1">
                  <c:v>ABCDEFGHIJ_{t+1}|ABCDEFGHI_{t}</c:v>
                </c:pt>
                <c:pt idx="2">
                  <c:v>ABCDEFGHIJ_{t+1}|BCDEFGHIJ_{t}</c:v>
                </c:pt>
                <c:pt idx="3">
                  <c:v>ABCDEFGHI_{t+1}|ABCDEFGHIJ_{t}</c:v>
                </c:pt>
                <c:pt idx="4">
                  <c:v>BCDEFGHIJ_{t+1}|ABCDEFGHIJ_{t}</c:v>
                </c:pt>
                <c:pt idx="5">
                  <c:v>ABCDEFGHIJ_{t+1}|BCDEFGHI_{t}</c:v>
                </c:pt>
                <c:pt idx="6">
                  <c:v>ABCDEFGHI_{t+1}|ABCDEFGHI_{t}</c:v>
                </c:pt>
                <c:pt idx="7">
                  <c:v>ABCDEFGHI_{t+1}|BCDEFGHIJ_{t}</c:v>
                </c:pt>
                <c:pt idx="8">
                  <c:v>BCDEFGHIJ_{t+1}|ABCDEFGHI_{t}</c:v>
                </c:pt>
                <c:pt idx="9">
                  <c:v>BCDEFGHIJ_{t+1}|BCDEFGHIJ_{t}</c:v>
                </c:pt>
                <c:pt idx="10">
                  <c:v>BCDEFGHI_{t+1}|ABCDEFGHIJ_{t}</c:v>
                </c:pt>
                <c:pt idx="11">
                  <c:v>ABCDEFGHIJ_{t+1}|ABDEGHJ_{t}</c:v>
                </c:pt>
                <c:pt idx="12">
                  <c:v>ABCDEFGHI_{t+1}|BCDEFGHI_{t}</c:v>
                </c:pt>
                <c:pt idx="13">
                  <c:v>BCDEFGHIJ_{t+1}|BCDEFGHI_{t}</c:v>
                </c:pt>
                <c:pt idx="14">
                  <c:v>BCDEFGHI_{t+1}|ABCDEFGHI_{t}</c:v>
                </c:pt>
                <c:pt idx="15">
                  <c:v>BCDEFGHI_{t+1}|BCDEFGHIJ_{t}</c:v>
                </c:pt>
                <c:pt idx="16">
                  <c:v>ABDEGHJ_{t+1}|ABCDEFGHIJ_{t}</c:v>
                </c:pt>
                <c:pt idx="17">
                  <c:v>ABCDEFGHI_{t+1}|ABDEGHJ_{t}</c:v>
                </c:pt>
                <c:pt idx="18">
                  <c:v>BCDEFGHIJ_{t+1}|ABDEGHJ_{t}</c:v>
                </c:pt>
                <c:pt idx="19">
                  <c:v>BCDEFGHI_{t+1}|BCDEFGHI_{t}</c:v>
                </c:pt>
                <c:pt idx="20">
                  <c:v>ABDEGHJ_{t+1}|ABCDEFGHI_{t}</c:v>
                </c:pt>
                <c:pt idx="21">
                  <c:v>ABDEGHJ_{t+1}|BCDEFGHIJ_{t}</c:v>
                </c:pt>
                <c:pt idx="22">
                  <c:v>BCDEFGJ_{t+1}|BCDEFGHIJ_{t}</c:v>
                </c:pt>
                <c:pt idx="23">
                  <c:v>ABCDEFGHIJ_{t+1}|ACEGI_{t}</c:v>
                </c:pt>
                <c:pt idx="24">
                  <c:v>ABCDEFGHIJ_{t+1}|BDFHJ_{t}</c:v>
                </c:pt>
                <c:pt idx="25">
                  <c:v>BCDEFGHI_{t+1}|ABDEGHJ_{t}</c:v>
                </c:pt>
                <c:pt idx="26">
                  <c:v>ACEGI_{t+1}|ABCDEFGHIJ_{t}</c:v>
                </c:pt>
                <c:pt idx="27">
                  <c:v>BDFHJ_{t+1}|ABCDEFGHIJ_{t}</c:v>
                </c:pt>
                <c:pt idx="28">
                  <c:v>ABDEGHJ_{t+1}|BCDEFGHI_{t}</c:v>
                </c:pt>
                <c:pt idx="29">
                  <c:v>ABCDEFGHI_{t+1}|ACEGI_{t}</c:v>
                </c:pt>
                <c:pt idx="30">
                  <c:v>ABCDEFGHI_{t+1}|BDFHJ_{t}</c:v>
                </c:pt>
                <c:pt idx="31">
                  <c:v>BCDEFGHIJ_{t+1}|ACEGI_{t}</c:v>
                </c:pt>
                <c:pt idx="32">
                  <c:v>BCDEFGHIJ_{t+1}|BDFHJ_{t}</c:v>
                </c:pt>
                <c:pt idx="33">
                  <c:v>ACEGI_{t+1}|ABCDEFGHI_{t}</c:v>
                </c:pt>
                <c:pt idx="34">
                  <c:v>ACEGI_{t+1}|BCDEFGHIJ_{t}</c:v>
                </c:pt>
                <c:pt idx="35">
                  <c:v>BDFHJ_{t+1}|ABCDEFGHI_{t}</c:v>
                </c:pt>
                <c:pt idx="36">
                  <c:v>BDFHJ_{t+1}|BCDEFGHIJ_{t}</c:v>
                </c:pt>
                <c:pt idx="37">
                  <c:v>ABDEGHJ_{t+1}|ABDEGHJ_{t}</c:v>
                </c:pt>
                <c:pt idx="38">
                  <c:v>BCDEFGHI_{t+1}|ACEGI_{t}</c:v>
                </c:pt>
                <c:pt idx="39">
                  <c:v>BCDEFGHI_{t+1}|BDFHJ_{t}</c:v>
                </c:pt>
                <c:pt idx="40">
                  <c:v>ACEGI_{t+1}|BCDEFGHI_{t}</c:v>
                </c:pt>
                <c:pt idx="41">
                  <c:v>BDFHJ_{t+1}|BCDEFGHI_{t}</c:v>
                </c:pt>
                <c:pt idx="42">
                  <c:v>ACEGI_{t+1}|ABDEGHJ_{t}</c:v>
                </c:pt>
                <c:pt idx="43">
                  <c:v>BDFHJ_{t+1}|ABDEGHJ_{t}</c:v>
                </c:pt>
                <c:pt idx="44">
                  <c:v>ABDEGHJ_{t+1}|ACEGI_{t}</c:v>
                </c:pt>
                <c:pt idx="45">
                  <c:v>ABDEGHJ_{t+1}|BDFHJ_{t}</c:v>
                </c:pt>
                <c:pt idx="46">
                  <c:v>ACEGI_{t+1}|ACEGI_{t}</c:v>
                </c:pt>
                <c:pt idx="47">
                  <c:v>ACEGI_{t+1}|BDFHJ_{t}</c:v>
                </c:pt>
                <c:pt idx="48">
                  <c:v>BDFHJ_{t+1}|ACEGI_{t}</c:v>
                </c:pt>
                <c:pt idx="49">
                  <c:v>BDFHJ_{t+1}|BDFHJ_{t}</c:v>
                </c:pt>
              </c:strCache>
            </c:strRef>
          </c:cat>
          <c:val>
            <c:numRef>
              <c:f>'10 elementos'!$G$3:$G$53</c:f>
              <c:numCache>
                <c:formatCode>General</c:formatCode>
                <c:ptCount val="51"/>
                <c:pt idx="0">
                  <c:v>0.25284004211425781</c:v>
                </c:pt>
                <c:pt idx="1">
                  <c:v>0.13605737686157229</c:v>
                </c:pt>
                <c:pt idx="2">
                  <c:v>0.13763260841369629</c:v>
                </c:pt>
                <c:pt idx="3">
                  <c:v>0.24005460739135739</c:v>
                </c:pt>
                <c:pt idx="4">
                  <c:v>0.29289031028747559</c:v>
                </c:pt>
                <c:pt idx="5">
                  <c:v>7.6529264450073242E-2</c:v>
                </c:pt>
                <c:pt idx="6">
                  <c:v>0.13067531585693359</c:v>
                </c:pt>
                <c:pt idx="7">
                  <c:v>0.121307373046875</c:v>
                </c:pt>
                <c:pt idx="8">
                  <c:v>0.1215248107910156</c:v>
                </c:pt>
                <c:pt idx="9">
                  <c:v>0.12075471878051761</c:v>
                </c:pt>
                <c:pt idx="10">
                  <c:v>0.2058722972869873</c:v>
                </c:pt>
                <c:pt idx="11">
                  <c:v>4.7006845474243157E-2</c:v>
                </c:pt>
                <c:pt idx="12">
                  <c:v>6.7013263702392578E-2</c:v>
                </c:pt>
                <c:pt idx="13">
                  <c:v>6.6040992736816406E-2</c:v>
                </c:pt>
                <c:pt idx="14">
                  <c:v>0.1075243949890137</c:v>
                </c:pt>
                <c:pt idx="15">
                  <c:v>0.11654758453369141</c:v>
                </c:pt>
                <c:pt idx="16">
                  <c:v>0.17713832855224609</c:v>
                </c:pt>
                <c:pt idx="17">
                  <c:v>4.105687141418457E-2</c:v>
                </c:pt>
                <c:pt idx="18">
                  <c:v>4.2002201080322273E-2</c:v>
                </c:pt>
                <c:pt idx="19">
                  <c:v>5.7041645050048828E-2</c:v>
                </c:pt>
                <c:pt idx="20">
                  <c:v>9.1557025909423828E-2</c:v>
                </c:pt>
                <c:pt idx="21">
                  <c:v>9.2844963073730469E-2</c:v>
                </c:pt>
                <c:pt idx="22">
                  <c:v>9.3064308166503906E-2</c:v>
                </c:pt>
                <c:pt idx="23">
                  <c:v>2.2977352142333981E-2</c:v>
                </c:pt>
                <c:pt idx="24">
                  <c:v>2.5020122528076168E-2</c:v>
                </c:pt>
                <c:pt idx="25">
                  <c:v>3.7999868392944343E-2</c:v>
                </c:pt>
                <c:pt idx="26">
                  <c:v>0.1278538703918457</c:v>
                </c:pt>
                <c:pt idx="27">
                  <c:v>0.1321907043457031</c:v>
                </c:pt>
                <c:pt idx="28">
                  <c:v>5.2535533905029297E-2</c:v>
                </c:pt>
                <c:pt idx="29">
                  <c:v>2.0998001098632809E-2</c:v>
                </c:pt>
                <c:pt idx="30">
                  <c:v>2.1995782852172852E-2</c:v>
                </c:pt>
                <c:pt idx="31">
                  <c:v>2.1001338958740231E-2</c:v>
                </c:pt>
                <c:pt idx="32">
                  <c:v>2.197360992431641E-2</c:v>
                </c:pt>
                <c:pt idx="33">
                  <c:v>6.7053318023681641E-2</c:v>
                </c:pt>
                <c:pt idx="34">
                  <c:v>6.5589189529418945E-2</c:v>
                </c:pt>
                <c:pt idx="35">
                  <c:v>6.6024303436279297E-2</c:v>
                </c:pt>
                <c:pt idx="36">
                  <c:v>6.9590330123901367E-2</c:v>
                </c:pt>
                <c:pt idx="37">
                  <c:v>3.453826904296875E-2</c:v>
                </c:pt>
                <c:pt idx="38">
                  <c:v>1.8973112106323239E-2</c:v>
                </c:pt>
                <c:pt idx="39">
                  <c:v>1.85394287109375E-2</c:v>
                </c:pt>
                <c:pt idx="40">
                  <c:v>3.9041519165039063E-2</c:v>
                </c:pt>
                <c:pt idx="41">
                  <c:v>3.6976814270019531E-2</c:v>
                </c:pt>
                <c:pt idx="42">
                  <c:v>2.352142333984375E-2</c:v>
                </c:pt>
                <c:pt idx="43">
                  <c:v>2.396750450134277E-2</c:v>
                </c:pt>
                <c:pt idx="44">
                  <c:v>1.5527486801147459E-2</c:v>
                </c:pt>
                <c:pt idx="45">
                  <c:v>1.5043497085571291E-2</c:v>
                </c:pt>
                <c:pt idx="46">
                  <c:v>1.1000871658325201E-2</c:v>
                </c:pt>
                <c:pt idx="47">
                  <c:v>1.137495040893555E-2</c:v>
                </c:pt>
                <c:pt idx="48">
                  <c:v>1.157689094543457E-2</c:v>
                </c:pt>
                <c:pt idx="49">
                  <c:v>1.355338096618652E-2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C7-4950-BB26-D18355A5B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449263"/>
        <c:axId val="1716529494"/>
      </c:lineChart>
      <c:catAx>
        <c:axId val="135944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16529494"/>
        <c:crosses val="autoZero"/>
        <c:auto val="1"/>
        <c:lblAlgn val="ctr"/>
        <c:lblOffset val="100"/>
        <c:noMultiLvlLbl val="1"/>
      </c:catAx>
      <c:valAx>
        <c:axId val="1716529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594492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Perdida Geometry vs pyphi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Geometry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'10 elementos'!$A$3:$A$52</c:f>
              <c:strCache>
                <c:ptCount val="50"/>
                <c:pt idx="0">
                  <c:v>ABCDEFGHIJ_{t+1}|ABCDEFGHIJ_{t}</c:v>
                </c:pt>
                <c:pt idx="1">
                  <c:v>ABCDEFGHIJ_{t+1}|ABCDEFGHI_{t}</c:v>
                </c:pt>
                <c:pt idx="2">
                  <c:v>ABCDEFGHIJ_{t+1}|BCDEFGHIJ_{t}</c:v>
                </c:pt>
                <c:pt idx="3">
                  <c:v>ABCDEFGHI_{t+1}|ABCDEFGHIJ_{t}</c:v>
                </c:pt>
                <c:pt idx="4">
                  <c:v>BCDEFGHIJ_{t+1}|ABCDEFGHIJ_{t}</c:v>
                </c:pt>
                <c:pt idx="5">
                  <c:v>ABCDEFGHIJ_{t+1}|BCDEFGHI_{t}</c:v>
                </c:pt>
                <c:pt idx="6">
                  <c:v>ABCDEFGHI_{t+1}|ABCDEFGHI_{t}</c:v>
                </c:pt>
                <c:pt idx="7">
                  <c:v>ABCDEFGHI_{t+1}|BCDEFGHIJ_{t}</c:v>
                </c:pt>
                <c:pt idx="8">
                  <c:v>BCDEFGHIJ_{t+1}|ABCDEFGHI_{t}</c:v>
                </c:pt>
                <c:pt idx="9">
                  <c:v>BCDEFGHIJ_{t+1}|BCDEFGHIJ_{t}</c:v>
                </c:pt>
                <c:pt idx="10">
                  <c:v>BCDEFGHI_{t+1}|ABCDEFGHIJ_{t}</c:v>
                </c:pt>
                <c:pt idx="11">
                  <c:v>ABCDEFGHIJ_{t+1}|ABDEGHJ_{t}</c:v>
                </c:pt>
                <c:pt idx="12">
                  <c:v>ABCDEFGHI_{t+1}|BCDEFGHI_{t}</c:v>
                </c:pt>
                <c:pt idx="13">
                  <c:v>BCDEFGHIJ_{t+1}|BCDEFGHI_{t}</c:v>
                </c:pt>
                <c:pt idx="14">
                  <c:v>BCDEFGHI_{t+1}|ABCDEFGHI_{t}</c:v>
                </c:pt>
                <c:pt idx="15">
                  <c:v>BCDEFGHI_{t+1}|BCDEFGHIJ_{t}</c:v>
                </c:pt>
                <c:pt idx="16">
                  <c:v>ABDEGHJ_{t+1}|ABCDEFGHIJ_{t}</c:v>
                </c:pt>
                <c:pt idx="17">
                  <c:v>ABCDEFGHI_{t+1}|ABDEGHJ_{t}</c:v>
                </c:pt>
                <c:pt idx="18">
                  <c:v>BCDEFGHIJ_{t+1}|ABDEGHJ_{t}</c:v>
                </c:pt>
                <c:pt idx="19">
                  <c:v>BCDEFGHI_{t+1}|BCDEFGHI_{t}</c:v>
                </c:pt>
                <c:pt idx="20">
                  <c:v>ABDEGHJ_{t+1}|ABCDEFGHI_{t}</c:v>
                </c:pt>
                <c:pt idx="21">
                  <c:v>ABDEGHJ_{t+1}|BCDEFGHIJ_{t}</c:v>
                </c:pt>
                <c:pt idx="22">
                  <c:v>BCDEFGJ_{t+1}|BCDEFGHIJ_{t}</c:v>
                </c:pt>
                <c:pt idx="23">
                  <c:v>ABCDEFGHIJ_{t+1}|ACEGI_{t}</c:v>
                </c:pt>
                <c:pt idx="24">
                  <c:v>ABCDEFGHIJ_{t+1}|BDFHJ_{t}</c:v>
                </c:pt>
                <c:pt idx="25">
                  <c:v>BCDEFGHI_{t+1}|ABDEGHJ_{t}</c:v>
                </c:pt>
                <c:pt idx="26">
                  <c:v>ACEGI_{t+1}|ABCDEFGHIJ_{t}</c:v>
                </c:pt>
                <c:pt idx="27">
                  <c:v>BDFHJ_{t+1}|ABCDEFGHIJ_{t}</c:v>
                </c:pt>
                <c:pt idx="28">
                  <c:v>ABDEGHJ_{t+1}|BCDEFGHI_{t}</c:v>
                </c:pt>
                <c:pt idx="29">
                  <c:v>ABCDEFGHI_{t+1}|ACEGI_{t}</c:v>
                </c:pt>
                <c:pt idx="30">
                  <c:v>ABCDEFGHI_{t+1}|BDFHJ_{t}</c:v>
                </c:pt>
                <c:pt idx="31">
                  <c:v>BCDEFGHIJ_{t+1}|ACEGI_{t}</c:v>
                </c:pt>
                <c:pt idx="32">
                  <c:v>BCDEFGHIJ_{t+1}|BDFHJ_{t}</c:v>
                </c:pt>
                <c:pt idx="33">
                  <c:v>ACEGI_{t+1}|ABCDEFGHI_{t}</c:v>
                </c:pt>
                <c:pt idx="34">
                  <c:v>ACEGI_{t+1}|BCDEFGHIJ_{t}</c:v>
                </c:pt>
                <c:pt idx="35">
                  <c:v>BDFHJ_{t+1}|ABCDEFGHI_{t}</c:v>
                </c:pt>
                <c:pt idx="36">
                  <c:v>BDFHJ_{t+1}|BCDEFGHIJ_{t}</c:v>
                </c:pt>
                <c:pt idx="37">
                  <c:v>ABDEGHJ_{t+1}|ABDEGHJ_{t}</c:v>
                </c:pt>
                <c:pt idx="38">
                  <c:v>BCDEFGHI_{t+1}|ACEGI_{t}</c:v>
                </c:pt>
                <c:pt idx="39">
                  <c:v>BCDEFGHI_{t+1}|BDFHJ_{t}</c:v>
                </c:pt>
                <c:pt idx="40">
                  <c:v>ACEGI_{t+1}|BCDEFGHI_{t}</c:v>
                </c:pt>
                <c:pt idx="41">
                  <c:v>BDFHJ_{t+1}|BCDEFGHI_{t}</c:v>
                </c:pt>
                <c:pt idx="42">
                  <c:v>ACEGI_{t+1}|ABDEGHJ_{t}</c:v>
                </c:pt>
                <c:pt idx="43">
                  <c:v>BDFHJ_{t+1}|ABDEGHJ_{t}</c:v>
                </c:pt>
                <c:pt idx="44">
                  <c:v>ABDEGHJ_{t+1}|ACEGI_{t}</c:v>
                </c:pt>
                <c:pt idx="45">
                  <c:v>ABDEGHJ_{t+1}|BDFHJ_{t}</c:v>
                </c:pt>
                <c:pt idx="46">
                  <c:v>ACEGI_{t+1}|ACEGI_{t}</c:v>
                </c:pt>
                <c:pt idx="47">
                  <c:v>ACEGI_{t+1}|BDFHJ_{t}</c:v>
                </c:pt>
                <c:pt idx="48">
                  <c:v>BDFHJ_{t+1}|ACEGI_{t}</c:v>
                </c:pt>
                <c:pt idx="49">
                  <c:v>BDFHJ_{t+1}|BDFHJ_{t}</c:v>
                </c:pt>
              </c:strCache>
            </c:strRef>
          </c:cat>
          <c:val>
            <c:numRef>
              <c:f>'10 elementos'!$F$3:$F$53</c:f>
              <c:numCache>
                <c:formatCode>General</c:formatCode>
                <c:ptCount val="51"/>
                <c:pt idx="0">
                  <c:v>0.47265625</c:v>
                </c:pt>
                <c:pt idx="1">
                  <c:v>4.8828125E-3</c:v>
                </c:pt>
                <c:pt idx="2">
                  <c:v>4.8828125E-3</c:v>
                </c:pt>
                <c:pt idx="3">
                  <c:v>0.47265625</c:v>
                </c:pt>
                <c:pt idx="4">
                  <c:v>0.47265625</c:v>
                </c:pt>
                <c:pt idx="5">
                  <c:v>1.171875E-2</c:v>
                </c:pt>
                <c:pt idx="6">
                  <c:v>4.8828125E-3</c:v>
                </c:pt>
                <c:pt idx="7">
                  <c:v>4.8828125E-3</c:v>
                </c:pt>
                <c:pt idx="8">
                  <c:v>4.8828125E-3</c:v>
                </c:pt>
                <c:pt idx="9">
                  <c:v>4.8828125E-3</c:v>
                </c:pt>
                <c:pt idx="10">
                  <c:v>0.47265625</c:v>
                </c:pt>
                <c:pt idx="11">
                  <c:v>5.859375E-3</c:v>
                </c:pt>
                <c:pt idx="12">
                  <c:v>1.171875E-2</c:v>
                </c:pt>
                <c:pt idx="13">
                  <c:v>1.171875E-2</c:v>
                </c:pt>
                <c:pt idx="14">
                  <c:v>4.8828125E-3</c:v>
                </c:pt>
                <c:pt idx="15">
                  <c:v>4.8828125E-3</c:v>
                </c:pt>
                <c:pt idx="16">
                  <c:v>0.48046875</c:v>
                </c:pt>
                <c:pt idx="17">
                  <c:v>1.953125E-2</c:v>
                </c:pt>
                <c:pt idx="18">
                  <c:v>5.859375E-3</c:v>
                </c:pt>
                <c:pt idx="19">
                  <c:v>1.171875E-2</c:v>
                </c:pt>
                <c:pt idx="20">
                  <c:v>4.8828125E-3</c:v>
                </c:pt>
                <c:pt idx="21">
                  <c:v>4.8828125E-3</c:v>
                </c:pt>
                <c:pt idx="22">
                  <c:v>4.8828125E-3</c:v>
                </c:pt>
                <c:pt idx="23">
                  <c:v>1.5625E-2</c:v>
                </c:pt>
                <c:pt idx="24">
                  <c:v>3.90625E-3</c:v>
                </c:pt>
                <c:pt idx="25">
                  <c:v>1.953125E-2</c:v>
                </c:pt>
                <c:pt idx="26">
                  <c:v>0.47265625</c:v>
                </c:pt>
                <c:pt idx="27">
                  <c:v>0.494140625</c:v>
                </c:pt>
                <c:pt idx="28">
                  <c:v>1.171875E-2</c:v>
                </c:pt>
                <c:pt idx="29">
                  <c:v>1.5625E-2</c:v>
                </c:pt>
                <c:pt idx="30">
                  <c:v>3.90625E-3</c:v>
                </c:pt>
                <c:pt idx="31">
                  <c:v>1.5625E-2</c:v>
                </c:pt>
                <c:pt idx="32">
                  <c:v>3.90625E-3</c:v>
                </c:pt>
                <c:pt idx="33">
                  <c:v>4.8828125E-3</c:v>
                </c:pt>
                <c:pt idx="34">
                  <c:v>4.8828125E-3</c:v>
                </c:pt>
                <c:pt idx="35">
                  <c:v>5.859375E-3</c:v>
                </c:pt>
                <c:pt idx="36">
                  <c:v>6.8359375E-3</c:v>
                </c:pt>
                <c:pt idx="37">
                  <c:v>5.859375E-3</c:v>
                </c:pt>
                <c:pt idx="38">
                  <c:v>1.5625E-2</c:v>
                </c:pt>
                <c:pt idx="39">
                  <c:v>3.90625E-3</c:v>
                </c:pt>
                <c:pt idx="40">
                  <c:v>1.953125E-2</c:v>
                </c:pt>
                <c:pt idx="41">
                  <c:v>1.171875E-2</c:v>
                </c:pt>
                <c:pt idx="42">
                  <c:v>1.953125E-2</c:v>
                </c:pt>
                <c:pt idx="43">
                  <c:v>5.859375E-3</c:v>
                </c:pt>
                <c:pt idx="44">
                  <c:v>1.5625E-2</c:v>
                </c:pt>
                <c:pt idx="45">
                  <c:v>1.953125E-2</c:v>
                </c:pt>
                <c:pt idx="46">
                  <c:v>1.5625E-2</c:v>
                </c:pt>
                <c:pt idx="47">
                  <c:v>3.90625E-3</c:v>
                </c:pt>
                <c:pt idx="48">
                  <c:v>2.44140625E-2</c:v>
                </c:pt>
                <c:pt idx="49">
                  <c:v>2.44140625E-2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528-472C-B9C1-86ADB823524F}"/>
            </c:ext>
          </c:extLst>
        </c:ser>
        <c:ser>
          <c:idx val="1"/>
          <c:order val="1"/>
          <c:tx>
            <c:v>Resultados Pyphi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'10 elementos'!$A$3:$A$52</c:f>
              <c:strCache>
                <c:ptCount val="50"/>
                <c:pt idx="0">
                  <c:v>ABCDEFGHIJ_{t+1}|ABCDEFGHIJ_{t}</c:v>
                </c:pt>
                <c:pt idx="1">
                  <c:v>ABCDEFGHIJ_{t+1}|ABCDEFGHI_{t}</c:v>
                </c:pt>
                <c:pt idx="2">
                  <c:v>ABCDEFGHIJ_{t+1}|BCDEFGHIJ_{t}</c:v>
                </c:pt>
                <c:pt idx="3">
                  <c:v>ABCDEFGHI_{t+1}|ABCDEFGHIJ_{t}</c:v>
                </c:pt>
                <c:pt idx="4">
                  <c:v>BCDEFGHIJ_{t+1}|ABCDEFGHIJ_{t}</c:v>
                </c:pt>
                <c:pt idx="5">
                  <c:v>ABCDEFGHIJ_{t+1}|BCDEFGHI_{t}</c:v>
                </c:pt>
                <c:pt idx="6">
                  <c:v>ABCDEFGHI_{t+1}|ABCDEFGHI_{t}</c:v>
                </c:pt>
                <c:pt idx="7">
                  <c:v>ABCDEFGHI_{t+1}|BCDEFGHIJ_{t}</c:v>
                </c:pt>
                <c:pt idx="8">
                  <c:v>BCDEFGHIJ_{t+1}|ABCDEFGHI_{t}</c:v>
                </c:pt>
                <c:pt idx="9">
                  <c:v>BCDEFGHIJ_{t+1}|BCDEFGHIJ_{t}</c:v>
                </c:pt>
                <c:pt idx="10">
                  <c:v>BCDEFGHI_{t+1}|ABCDEFGHIJ_{t}</c:v>
                </c:pt>
                <c:pt idx="11">
                  <c:v>ABCDEFGHIJ_{t+1}|ABDEGHJ_{t}</c:v>
                </c:pt>
                <c:pt idx="12">
                  <c:v>ABCDEFGHI_{t+1}|BCDEFGHI_{t}</c:v>
                </c:pt>
                <c:pt idx="13">
                  <c:v>BCDEFGHIJ_{t+1}|BCDEFGHI_{t}</c:v>
                </c:pt>
                <c:pt idx="14">
                  <c:v>BCDEFGHI_{t+1}|ABCDEFGHI_{t}</c:v>
                </c:pt>
                <c:pt idx="15">
                  <c:v>BCDEFGHI_{t+1}|BCDEFGHIJ_{t}</c:v>
                </c:pt>
                <c:pt idx="16">
                  <c:v>ABDEGHJ_{t+1}|ABCDEFGHIJ_{t}</c:v>
                </c:pt>
                <c:pt idx="17">
                  <c:v>ABCDEFGHI_{t+1}|ABDEGHJ_{t}</c:v>
                </c:pt>
                <c:pt idx="18">
                  <c:v>BCDEFGHIJ_{t+1}|ABDEGHJ_{t}</c:v>
                </c:pt>
                <c:pt idx="19">
                  <c:v>BCDEFGHI_{t+1}|BCDEFGHI_{t}</c:v>
                </c:pt>
                <c:pt idx="20">
                  <c:v>ABDEGHJ_{t+1}|ABCDEFGHI_{t}</c:v>
                </c:pt>
                <c:pt idx="21">
                  <c:v>ABDEGHJ_{t+1}|BCDEFGHIJ_{t}</c:v>
                </c:pt>
                <c:pt idx="22">
                  <c:v>BCDEFGJ_{t+1}|BCDEFGHIJ_{t}</c:v>
                </c:pt>
                <c:pt idx="23">
                  <c:v>ABCDEFGHIJ_{t+1}|ACEGI_{t}</c:v>
                </c:pt>
                <c:pt idx="24">
                  <c:v>ABCDEFGHIJ_{t+1}|BDFHJ_{t}</c:v>
                </c:pt>
                <c:pt idx="25">
                  <c:v>BCDEFGHI_{t+1}|ABDEGHJ_{t}</c:v>
                </c:pt>
                <c:pt idx="26">
                  <c:v>ACEGI_{t+1}|ABCDEFGHIJ_{t}</c:v>
                </c:pt>
                <c:pt idx="27">
                  <c:v>BDFHJ_{t+1}|ABCDEFGHIJ_{t}</c:v>
                </c:pt>
                <c:pt idx="28">
                  <c:v>ABDEGHJ_{t+1}|BCDEFGHI_{t}</c:v>
                </c:pt>
                <c:pt idx="29">
                  <c:v>ABCDEFGHI_{t+1}|ACEGI_{t}</c:v>
                </c:pt>
                <c:pt idx="30">
                  <c:v>ABCDEFGHI_{t+1}|BDFHJ_{t}</c:v>
                </c:pt>
                <c:pt idx="31">
                  <c:v>BCDEFGHIJ_{t+1}|ACEGI_{t}</c:v>
                </c:pt>
                <c:pt idx="32">
                  <c:v>BCDEFGHIJ_{t+1}|BDFHJ_{t}</c:v>
                </c:pt>
                <c:pt idx="33">
                  <c:v>ACEGI_{t+1}|ABCDEFGHI_{t}</c:v>
                </c:pt>
                <c:pt idx="34">
                  <c:v>ACEGI_{t+1}|BCDEFGHIJ_{t}</c:v>
                </c:pt>
                <c:pt idx="35">
                  <c:v>BDFHJ_{t+1}|ABCDEFGHI_{t}</c:v>
                </c:pt>
                <c:pt idx="36">
                  <c:v>BDFHJ_{t+1}|BCDEFGHIJ_{t}</c:v>
                </c:pt>
                <c:pt idx="37">
                  <c:v>ABDEGHJ_{t+1}|ABDEGHJ_{t}</c:v>
                </c:pt>
                <c:pt idx="38">
                  <c:v>BCDEFGHI_{t+1}|ACEGI_{t}</c:v>
                </c:pt>
                <c:pt idx="39">
                  <c:v>BCDEFGHI_{t+1}|BDFHJ_{t}</c:v>
                </c:pt>
                <c:pt idx="40">
                  <c:v>ACEGI_{t+1}|BCDEFGHI_{t}</c:v>
                </c:pt>
                <c:pt idx="41">
                  <c:v>BDFHJ_{t+1}|BCDEFGHI_{t}</c:v>
                </c:pt>
                <c:pt idx="42">
                  <c:v>ACEGI_{t+1}|ABDEGHJ_{t}</c:v>
                </c:pt>
                <c:pt idx="43">
                  <c:v>BDFHJ_{t+1}|ABDEGHJ_{t}</c:v>
                </c:pt>
                <c:pt idx="44">
                  <c:v>ABDEGHJ_{t+1}|ACEGI_{t}</c:v>
                </c:pt>
                <c:pt idx="45">
                  <c:v>ABDEGHJ_{t+1}|BDFHJ_{t}</c:v>
                </c:pt>
                <c:pt idx="46">
                  <c:v>ACEGI_{t+1}|ACEGI_{t}</c:v>
                </c:pt>
                <c:pt idx="47">
                  <c:v>ACEGI_{t+1}|BDFHJ_{t}</c:v>
                </c:pt>
                <c:pt idx="48">
                  <c:v>BDFHJ_{t+1}|ACEGI_{t}</c:v>
                </c:pt>
                <c:pt idx="49">
                  <c:v>BDFHJ_{t+1}|BDFHJ_{t}</c:v>
                </c:pt>
              </c:strCache>
            </c:strRef>
          </c:cat>
          <c:val>
            <c:numRef>
              <c:f>'10 elementos'!$C$3:$C$52</c:f>
              <c:numCache>
                <c:formatCode>General</c:formatCode>
                <c:ptCount val="50"/>
                <c:pt idx="0">
                  <c:v>0.47265600000000002</c:v>
                </c:pt>
                <c:pt idx="1">
                  <c:v>4.8830000000000002E-3</c:v>
                </c:pt>
                <c:pt idx="2">
                  <c:v>4.8830000000000002E-3</c:v>
                </c:pt>
                <c:pt idx="3">
                  <c:v>0.47265600000000002</c:v>
                </c:pt>
                <c:pt idx="4">
                  <c:v>0.47265600000000002</c:v>
                </c:pt>
                <c:pt idx="5">
                  <c:v>1.1719E-2</c:v>
                </c:pt>
                <c:pt idx="6">
                  <c:v>4.8830000000000002E-3</c:v>
                </c:pt>
                <c:pt idx="7">
                  <c:v>4.8830000000000002E-3</c:v>
                </c:pt>
                <c:pt idx="8">
                  <c:v>4.8830000000000002E-3</c:v>
                </c:pt>
                <c:pt idx="9">
                  <c:v>4.8830000000000002E-3</c:v>
                </c:pt>
                <c:pt idx="10">
                  <c:v>0.47265600000000002</c:v>
                </c:pt>
                <c:pt idx="11">
                  <c:v>5.8589999999999996E-3</c:v>
                </c:pt>
                <c:pt idx="12">
                  <c:v>1.1719E-2</c:v>
                </c:pt>
                <c:pt idx="13">
                  <c:v>1.1719E-2</c:v>
                </c:pt>
                <c:pt idx="14">
                  <c:v>4.8830000000000002E-3</c:v>
                </c:pt>
                <c:pt idx="15">
                  <c:v>4.8830000000000002E-3</c:v>
                </c:pt>
                <c:pt idx="16">
                  <c:v>0.48046899999999998</c:v>
                </c:pt>
                <c:pt idx="17">
                  <c:v>1.9531E-2</c:v>
                </c:pt>
                <c:pt idx="18">
                  <c:v>5.8589999999999996E-3</c:v>
                </c:pt>
                <c:pt idx="19">
                  <c:v>1.1719E-2</c:v>
                </c:pt>
                <c:pt idx="20">
                  <c:v>4.8830000000000002E-3</c:v>
                </c:pt>
                <c:pt idx="21">
                  <c:v>4.8830000000000002E-3</c:v>
                </c:pt>
                <c:pt idx="22">
                  <c:v>4.8830000000000002E-3</c:v>
                </c:pt>
                <c:pt idx="23">
                  <c:v>1.5625E-2</c:v>
                </c:pt>
                <c:pt idx="24">
                  <c:v>3.9060000000000002E-3</c:v>
                </c:pt>
                <c:pt idx="25">
                  <c:v>1.9531E-2</c:v>
                </c:pt>
                <c:pt idx="26">
                  <c:v>0.47265600000000002</c:v>
                </c:pt>
                <c:pt idx="27">
                  <c:v>0.484375</c:v>
                </c:pt>
                <c:pt idx="28">
                  <c:v>1.1719E-2</c:v>
                </c:pt>
                <c:pt idx="29">
                  <c:v>1.5625E-2</c:v>
                </c:pt>
                <c:pt idx="30">
                  <c:v>3.9060000000000002E-3</c:v>
                </c:pt>
                <c:pt idx="31">
                  <c:v>1.5625E-2</c:v>
                </c:pt>
                <c:pt idx="32">
                  <c:v>3.9060000000000002E-3</c:v>
                </c:pt>
                <c:pt idx="33">
                  <c:v>4.8830000000000002E-3</c:v>
                </c:pt>
                <c:pt idx="34">
                  <c:v>4.8830000000000002E-3</c:v>
                </c:pt>
                <c:pt idx="35">
                  <c:v>5.8589999999999996E-3</c:v>
                </c:pt>
                <c:pt idx="36">
                  <c:v>6.8360000000000001E-3</c:v>
                </c:pt>
                <c:pt idx="37">
                  <c:v>5.8589999999999996E-3</c:v>
                </c:pt>
                <c:pt idx="38">
                  <c:v>1.5625E-2</c:v>
                </c:pt>
                <c:pt idx="39">
                  <c:v>3.9060000000000002E-3</c:v>
                </c:pt>
                <c:pt idx="40">
                  <c:v>1.9531E-2</c:v>
                </c:pt>
                <c:pt idx="41">
                  <c:v>1.1719E-2</c:v>
                </c:pt>
                <c:pt idx="42">
                  <c:v>1.9531E-2</c:v>
                </c:pt>
                <c:pt idx="43">
                  <c:v>5.8589999999999996E-3</c:v>
                </c:pt>
                <c:pt idx="44">
                  <c:v>1.5625E-2</c:v>
                </c:pt>
                <c:pt idx="45">
                  <c:v>1.9531E-2</c:v>
                </c:pt>
                <c:pt idx="46">
                  <c:v>1.5625E-2</c:v>
                </c:pt>
                <c:pt idx="47">
                  <c:v>3.9060000000000002E-3</c:v>
                </c:pt>
                <c:pt idx="48">
                  <c:v>2.4414000000000002E-2</c:v>
                </c:pt>
                <c:pt idx="49">
                  <c:v>2.4414000000000002E-2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528-472C-B9C1-86ADB8235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2797646"/>
        <c:axId val="1554182532"/>
      </c:barChart>
      <c:catAx>
        <c:axId val="1932797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54182532"/>
        <c:crosses val="autoZero"/>
        <c:auto val="1"/>
        <c:lblAlgn val="ctr"/>
        <c:lblOffset val="100"/>
        <c:noMultiLvlLbl val="1"/>
      </c:catAx>
      <c:valAx>
        <c:axId val="1554182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9327976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Tiempo Qnodes vs Geometry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Geometry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'15A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'15A elementos'!$J$3:$J$52</c:f>
              <c:numCache>
                <c:formatCode>General</c:formatCode>
                <c:ptCount val="50"/>
                <c:pt idx="0">
                  <c:v>1.8886198997497561</c:v>
                </c:pt>
                <c:pt idx="1">
                  <c:v>0.1149923801422119</c:v>
                </c:pt>
                <c:pt idx="2">
                  <c:v>1.6970784664154051</c:v>
                </c:pt>
                <c:pt idx="3">
                  <c:v>0.23936653137207031</c:v>
                </c:pt>
                <c:pt idx="4">
                  <c:v>1.91222620010376</c:v>
                </c:pt>
                <c:pt idx="5">
                  <c:v>0.58646607398986816</c:v>
                </c:pt>
                <c:pt idx="6">
                  <c:v>1.754148483276367</c:v>
                </c:pt>
                <c:pt idx="7">
                  <c:v>0.117152214050293</c:v>
                </c:pt>
                <c:pt idx="8">
                  <c:v>1.6832728385925291</c:v>
                </c:pt>
                <c:pt idx="9">
                  <c:v>0.119441032409668</c:v>
                </c:pt>
                <c:pt idx="10">
                  <c:v>1.849624395370483</c:v>
                </c:pt>
                <c:pt idx="11">
                  <c:v>0.58417487144470215</c:v>
                </c:pt>
                <c:pt idx="12">
                  <c:v>2.183775663375854</c:v>
                </c:pt>
                <c:pt idx="13">
                  <c:v>0.1136806011199951</c:v>
                </c:pt>
                <c:pt idx="14">
                  <c:v>1.6818544864654541</c:v>
                </c:pt>
                <c:pt idx="15">
                  <c:v>0.58104157447814941</c:v>
                </c:pt>
                <c:pt idx="16">
                  <c:v>1.6592803001403811</c:v>
                </c:pt>
                <c:pt idx="17">
                  <c:v>0.48621320724487299</c:v>
                </c:pt>
                <c:pt idx="18">
                  <c:v>1.76085352897644</c:v>
                </c:pt>
                <c:pt idx="19">
                  <c:v>0.49222517013549799</c:v>
                </c:pt>
                <c:pt idx="20">
                  <c:v>2.1477293968200679</c:v>
                </c:pt>
                <c:pt idx="21">
                  <c:v>9.5818042755126953E-2</c:v>
                </c:pt>
                <c:pt idx="22">
                  <c:v>1.6353416442871089</c:v>
                </c:pt>
                <c:pt idx="23">
                  <c:v>0.47688817977905268</c:v>
                </c:pt>
                <c:pt idx="24">
                  <c:v>0.51998758316040039</c:v>
                </c:pt>
                <c:pt idx="25">
                  <c:v>0.1774857044219971</c:v>
                </c:pt>
                <c:pt idx="26">
                  <c:v>0.58939290046691895</c:v>
                </c:pt>
                <c:pt idx="27">
                  <c:v>0.46513819694519037</c:v>
                </c:pt>
                <c:pt idx="28">
                  <c:v>0.50172042846679688</c:v>
                </c:pt>
                <c:pt idx="29">
                  <c:v>1.966452598571777E-2</c:v>
                </c:pt>
                <c:pt idx="30">
                  <c:v>8.9427947998046875E-2</c:v>
                </c:pt>
                <c:pt idx="31">
                  <c:v>9.0413570404052734E-2</c:v>
                </c:pt>
                <c:pt idx="32">
                  <c:v>0.16971087455749509</c:v>
                </c:pt>
                <c:pt idx="33">
                  <c:v>0.37964701652526861</c:v>
                </c:pt>
                <c:pt idx="34">
                  <c:v>0.51455140113830566</c:v>
                </c:pt>
                <c:pt idx="35">
                  <c:v>0.35796594619750982</c:v>
                </c:pt>
                <c:pt idx="36">
                  <c:v>0.57903790473937988</c:v>
                </c:pt>
                <c:pt idx="37">
                  <c:v>7.8887462615966797E-2</c:v>
                </c:pt>
                <c:pt idx="38">
                  <c:v>8.1706047058105469E-2</c:v>
                </c:pt>
                <c:pt idx="39">
                  <c:v>0.4558403491973877</c:v>
                </c:pt>
                <c:pt idx="40">
                  <c:v>7.554173469543457E-2</c:v>
                </c:pt>
                <c:pt idx="41">
                  <c:v>0.47032546997070313</c:v>
                </c:pt>
                <c:pt idx="42">
                  <c:v>3.3982515335083008E-2</c:v>
                </c:pt>
                <c:pt idx="43">
                  <c:v>0.43795466423034668</c:v>
                </c:pt>
                <c:pt idx="44">
                  <c:v>0.56252479553222656</c:v>
                </c:pt>
                <c:pt idx="45">
                  <c:v>0.33099365234375</c:v>
                </c:pt>
                <c:pt idx="46">
                  <c:v>0.55325794219970703</c:v>
                </c:pt>
                <c:pt idx="47">
                  <c:v>0.32682037353515619</c:v>
                </c:pt>
                <c:pt idx="48">
                  <c:v>0.44590139389038091</c:v>
                </c:pt>
                <c:pt idx="49">
                  <c:v>0.30757808685302701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D-4F57-A8AA-EEF42BC43A34}"/>
            </c:ext>
          </c:extLst>
        </c:ser>
        <c:ser>
          <c:idx val="1"/>
          <c:order val="1"/>
          <c:tx>
            <c:v>Qnode 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'15A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'15A elementos'!$G$3:$G$52</c:f>
              <c:numCache>
                <c:formatCode>General</c:formatCode>
                <c:ptCount val="50"/>
                <c:pt idx="0">
                  <c:v>3.1941039562225302</c:v>
                </c:pt>
                <c:pt idx="1">
                  <c:v>1.6307408809661901</c:v>
                </c:pt>
                <c:pt idx="2">
                  <c:v>1.5684549808502199</c:v>
                </c:pt>
                <c:pt idx="3">
                  <c:v>1.6495842933654801</c:v>
                </c:pt>
                <c:pt idx="4">
                  <c:v>1.4506099224090601</c:v>
                </c:pt>
                <c:pt idx="5">
                  <c:v>0.97051143646240201</c:v>
                </c:pt>
                <c:pt idx="6">
                  <c:v>0.88901185989379905</c:v>
                </c:pt>
                <c:pt idx="7">
                  <c:v>0.85712122917175304</c:v>
                </c:pt>
                <c:pt idx="8">
                  <c:v>0.94633245468139604</c:v>
                </c:pt>
                <c:pt idx="9">
                  <c:v>0.42462491989135698</c:v>
                </c:pt>
                <c:pt idx="10">
                  <c:v>0.52708482742309604</c:v>
                </c:pt>
                <c:pt idx="11">
                  <c:v>0.697062969207764</c:v>
                </c:pt>
                <c:pt idx="12">
                  <c:v>0.36487293243408198</c:v>
                </c:pt>
                <c:pt idx="13">
                  <c:v>0.39272904396057101</c:v>
                </c:pt>
                <c:pt idx="14">
                  <c:v>0.33213543891906699</c:v>
                </c:pt>
                <c:pt idx="15">
                  <c:v>0.25630664825439398</c:v>
                </c:pt>
                <c:pt idx="16">
                  <c:v>0.428892612457275</c:v>
                </c:pt>
                <c:pt idx="17">
                  <c:v>0.524394512176514</c:v>
                </c:pt>
                <c:pt idx="18">
                  <c:v>0.635092973709106</c:v>
                </c:pt>
                <c:pt idx="19">
                  <c:v>0.18634676933288599</c:v>
                </c:pt>
                <c:pt idx="20">
                  <c:v>0.22196912765502899</c:v>
                </c:pt>
                <c:pt idx="21">
                  <c:v>0.52536273002624501</c:v>
                </c:pt>
                <c:pt idx="22">
                  <c:v>0.38019418716430697</c:v>
                </c:pt>
                <c:pt idx="23">
                  <c:v>0.34896326065063499</c:v>
                </c:pt>
                <c:pt idx="24">
                  <c:v>0.165135383605957</c:v>
                </c:pt>
                <c:pt idx="25">
                  <c:v>0.23332548141479501</c:v>
                </c:pt>
                <c:pt idx="26">
                  <c:v>0.43327784538268999</c:v>
                </c:pt>
                <c:pt idx="27">
                  <c:v>0.33598589897155801</c:v>
                </c:pt>
                <c:pt idx="28">
                  <c:v>0.190537214279175</c:v>
                </c:pt>
                <c:pt idx="29">
                  <c:v>0.180169582366943</c:v>
                </c:pt>
                <c:pt idx="30">
                  <c:v>0.55452060699462902</c:v>
                </c:pt>
                <c:pt idx="31">
                  <c:v>0.32070970535278298</c:v>
                </c:pt>
                <c:pt idx="32">
                  <c:v>0.18429708480835</c:v>
                </c:pt>
                <c:pt idx="33">
                  <c:v>0.192900896072388</c:v>
                </c:pt>
                <c:pt idx="34">
                  <c:v>0.19927883148193401</c:v>
                </c:pt>
                <c:pt idx="35">
                  <c:v>0.16062664985656699</c:v>
                </c:pt>
                <c:pt idx="36">
                  <c:v>0.33545589447021501</c:v>
                </c:pt>
                <c:pt idx="37">
                  <c:v>0.36375522613525402</c:v>
                </c:pt>
                <c:pt idx="38">
                  <c:v>0.20614671707153301</c:v>
                </c:pt>
                <c:pt idx="39">
                  <c:v>0.14544653892517101</c:v>
                </c:pt>
                <c:pt idx="40">
                  <c:v>0.28363752365112299</c:v>
                </c:pt>
                <c:pt idx="41">
                  <c:v>0.217049360275269</c:v>
                </c:pt>
                <c:pt idx="42">
                  <c:v>0.15759372711181599</c:v>
                </c:pt>
                <c:pt idx="43">
                  <c:v>9.5265150070190402E-2</c:v>
                </c:pt>
                <c:pt idx="44">
                  <c:v>8.02416801452637E-2</c:v>
                </c:pt>
                <c:pt idx="45">
                  <c:v>9.5386266708373996E-2</c:v>
                </c:pt>
                <c:pt idx="46">
                  <c:v>9.77435111999512E-2</c:v>
                </c:pt>
                <c:pt idx="47">
                  <c:v>6.6367149353027302E-2</c:v>
                </c:pt>
                <c:pt idx="48">
                  <c:v>5.41002750396729E-2</c:v>
                </c:pt>
                <c:pt idx="49">
                  <c:v>6.20684623718262E-2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D-4F57-A8AA-EEF42BC43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900438"/>
        <c:axId val="698304383"/>
      </c:lineChart>
      <c:catAx>
        <c:axId val="16759004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98304383"/>
        <c:crosses val="autoZero"/>
        <c:auto val="1"/>
        <c:lblAlgn val="ctr"/>
        <c:lblOffset val="100"/>
        <c:noMultiLvlLbl val="1"/>
      </c:catAx>
      <c:valAx>
        <c:axId val="698304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759004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Perdida Qnodes vs geometry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Geometry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'15A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'15A elementos'!$I$3:$I$52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4.7147274017333978E-5</c:v>
                </c:pt>
                <c:pt idx="18">
                  <c:v>0</c:v>
                </c:pt>
                <c:pt idx="19">
                  <c:v>1.337826251983643E-3</c:v>
                </c:pt>
                <c:pt idx="20">
                  <c:v>4.7147274017333978E-5</c:v>
                </c:pt>
                <c:pt idx="21">
                  <c:v>0</c:v>
                </c:pt>
                <c:pt idx="22">
                  <c:v>0</c:v>
                </c:pt>
                <c:pt idx="23">
                  <c:v>4.1897892951965332E-3</c:v>
                </c:pt>
                <c:pt idx="24">
                  <c:v>1.337826251983643E-3</c:v>
                </c:pt>
                <c:pt idx="25">
                  <c:v>0</c:v>
                </c:pt>
                <c:pt idx="26">
                  <c:v>0</c:v>
                </c:pt>
                <c:pt idx="27">
                  <c:v>7.205665111541748E-3</c:v>
                </c:pt>
                <c:pt idx="28">
                  <c:v>4.1897892951965332E-3</c:v>
                </c:pt>
                <c:pt idx="29">
                  <c:v>4.1897892951965332E-3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7.205665111541748E-3</c:v>
                </c:pt>
                <c:pt idx="34">
                  <c:v>7.205665111541748E-3</c:v>
                </c:pt>
                <c:pt idx="35">
                  <c:v>4.1897892951965332E-3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7.205665111541748E-3</c:v>
                </c:pt>
                <c:pt idx="40">
                  <c:v>0</c:v>
                </c:pt>
                <c:pt idx="41">
                  <c:v>1.337826251983643E-3</c:v>
                </c:pt>
                <c:pt idx="42">
                  <c:v>4.7147274017333978E-5</c:v>
                </c:pt>
                <c:pt idx="43">
                  <c:v>4.378199577331543E-3</c:v>
                </c:pt>
                <c:pt idx="44">
                  <c:v>1.337826251983643E-3</c:v>
                </c:pt>
                <c:pt idx="45">
                  <c:v>7.0973634719848633E-3</c:v>
                </c:pt>
                <c:pt idx="46">
                  <c:v>4.378199577331543E-3</c:v>
                </c:pt>
                <c:pt idx="47">
                  <c:v>7.0973634719848633E-3</c:v>
                </c:pt>
                <c:pt idx="48">
                  <c:v>4.1897892951965332E-3</c:v>
                </c:pt>
                <c:pt idx="49">
                  <c:v>8.7940692901611328E-3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8E-402E-B22A-1AB89882B063}"/>
            </c:ext>
          </c:extLst>
        </c:ser>
        <c:ser>
          <c:idx val="1"/>
          <c:order val="1"/>
          <c:tx>
            <c:v>Qnode actual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'15A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'15A elementos'!$F$3:$F$52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4.7147274017333998E-5</c:v>
                </c:pt>
                <c:pt idx="18">
                  <c:v>0</c:v>
                </c:pt>
                <c:pt idx="19">
                  <c:v>1.33782625198364E-3</c:v>
                </c:pt>
                <c:pt idx="20">
                  <c:v>4.7147274017333998E-5</c:v>
                </c:pt>
                <c:pt idx="21">
                  <c:v>0</c:v>
                </c:pt>
                <c:pt idx="22">
                  <c:v>0</c:v>
                </c:pt>
                <c:pt idx="23">
                  <c:v>4.1897892951965297E-3</c:v>
                </c:pt>
                <c:pt idx="24">
                  <c:v>1.33782625198364E-3</c:v>
                </c:pt>
                <c:pt idx="25">
                  <c:v>0</c:v>
                </c:pt>
                <c:pt idx="26">
                  <c:v>0</c:v>
                </c:pt>
                <c:pt idx="27">
                  <c:v>7.0973634719848598E-3</c:v>
                </c:pt>
                <c:pt idx="28">
                  <c:v>4.1897892951965297E-3</c:v>
                </c:pt>
                <c:pt idx="29">
                  <c:v>4.1897892951965297E-3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7.0973634719848598E-3</c:v>
                </c:pt>
                <c:pt idx="34">
                  <c:v>7.0973634719848598E-3</c:v>
                </c:pt>
                <c:pt idx="35">
                  <c:v>4.1897892951965297E-3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7.0973634719848598E-3</c:v>
                </c:pt>
                <c:pt idx="40">
                  <c:v>0</c:v>
                </c:pt>
                <c:pt idx="41">
                  <c:v>1.33782625198364E-3</c:v>
                </c:pt>
                <c:pt idx="42">
                  <c:v>4.7147274017333998E-5</c:v>
                </c:pt>
                <c:pt idx="43">
                  <c:v>4.3781995773315404E-3</c:v>
                </c:pt>
                <c:pt idx="44">
                  <c:v>1.33782625198364E-3</c:v>
                </c:pt>
                <c:pt idx="45">
                  <c:v>7.0973634719848598E-3</c:v>
                </c:pt>
                <c:pt idx="46">
                  <c:v>5.3575038909912101E-3</c:v>
                </c:pt>
                <c:pt idx="47">
                  <c:v>7.0973634719848598E-3</c:v>
                </c:pt>
                <c:pt idx="48">
                  <c:v>4.1897892951965297E-3</c:v>
                </c:pt>
                <c:pt idx="49">
                  <c:v>8.7940692901611293E-3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68E-402E-B22A-1AB89882B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777291"/>
        <c:axId val="1370445322"/>
      </c:barChart>
      <c:catAx>
        <c:axId val="549777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370445322"/>
        <c:crosses val="autoZero"/>
        <c:auto val="1"/>
        <c:lblAlgn val="ctr"/>
        <c:lblOffset val="100"/>
        <c:noMultiLvlLbl val="1"/>
      </c:catAx>
      <c:valAx>
        <c:axId val="1370445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497772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tiempo qnode vs geometry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Qnode actual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'15B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'15B elementos'!$G$3:$G$52</c:f>
              <c:numCache>
                <c:formatCode>General</c:formatCode>
                <c:ptCount val="50"/>
                <c:pt idx="0">
                  <c:v>2.87412452697754</c:v>
                </c:pt>
                <c:pt idx="1">
                  <c:v>1.76363301277161</c:v>
                </c:pt>
                <c:pt idx="2">
                  <c:v>1.19104051589966</c:v>
                </c:pt>
                <c:pt idx="3">
                  <c:v>0.43097782135009799</c:v>
                </c:pt>
                <c:pt idx="4">
                  <c:v>0.50125217437744096</c:v>
                </c:pt>
                <c:pt idx="5">
                  <c:v>1.01453638076782</c:v>
                </c:pt>
                <c:pt idx="6">
                  <c:v>0.459819316864014</c:v>
                </c:pt>
                <c:pt idx="7">
                  <c:v>0.67040944099426303</c:v>
                </c:pt>
                <c:pt idx="8">
                  <c:v>0.42214393615722701</c:v>
                </c:pt>
                <c:pt idx="9">
                  <c:v>0.47676157951355003</c:v>
                </c:pt>
                <c:pt idx="10">
                  <c:v>0.38063311576843301</c:v>
                </c:pt>
                <c:pt idx="11">
                  <c:v>0.40865302085876498</c:v>
                </c:pt>
                <c:pt idx="12">
                  <c:v>0.38778162002563499</c:v>
                </c:pt>
                <c:pt idx="13">
                  <c:v>0.34797620773315402</c:v>
                </c:pt>
                <c:pt idx="14">
                  <c:v>0.432567358016968</c:v>
                </c:pt>
                <c:pt idx="15">
                  <c:v>0.31706047058105502</c:v>
                </c:pt>
                <c:pt idx="16">
                  <c:v>0.33267545700073198</c:v>
                </c:pt>
                <c:pt idx="17">
                  <c:v>0.50369191169738803</c:v>
                </c:pt>
                <c:pt idx="18">
                  <c:v>0.88586401939392101</c:v>
                </c:pt>
                <c:pt idx="19">
                  <c:v>0.260355234146118</c:v>
                </c:pt>
                <c:pt idx="20">
                  <c:v>0.231500148773193</c:v>
                </c:pt>
                <c:pt idx="21">
                  <c:v>0.33225679397583002</c:v>
                </c:pt>
                <c:pt idx="22">
                  <c:v>0.36576628684997597</c:v>
                </c:pt>
                <c:pt idx="23">
                  <c:v>0.346022129058838</c:v>
                </c:pt>
                <c:pt idx="24">
                  <c:v>0.17557978630065901</c:v>
                </c:pt>
                <c:pt idx="25">
                  <c:v>0.46815586090087902</c:v>
                </c:pt>
                <c:pt idx="26">
                  <c:v>0.23533606529235801</c:v>
                </c:pt>
                <c:pt idx="27">
                  <c:v>0.29859566688537598</c:v>
                </c:pt>
                <c:pt idx="28">
                  <c:v>0.25478911399841297</c:v>
                </c:pt>
                <c:pt idx="29">
                  <c:v>0.17688775062560999</c:v>
                </c:pt>
                <c:pt idx="30">
                  <c:v>0.24377202987670901</c:v>
                </c:pt>
                <c:pt idx="31">
                  <c:v>0.35472273826599099</c:v>
                </c:pt>
                <c:pt idx="32">
                  <c:v>0.82558131217956499</c:v>
                </c:pt>
                <c:pt idx="33">
                  <c:v>0.19995927810669001</c:v>
                </c:pt>
                <c:pt idx="34">
                  <c:v>0.17084550857544001</c:v>
                </c:pt>
                <c:pt idx="35">
                  <c:v>0.13680934906005901</c:v>
                </c:pt>
                <c:pt idx="36">
                  <c:v>0.34097862243652299</c:v>
                </c:pt>
                <c:pt idx="37">
                  <c:v>0.35857725143432601</c:v>
                </c:pt>
                <c:pt idx="38">
                  <c:v>0.191992282867432</c:v>
                </c:pt>
                <c:pt idx="39">
                  <c:v>0.123890161514282</c:v>
                </c:pt>
                <c:pt idx="40">
                  <c:v>0.151052951812744</c:v>
                </c:pt>
                <c:pt idx="41">
                  <c:v>0.108468770980835</c:v>
                </c:pt>
                <c:pt idx="42">
                  <c:v>0.12669181823730499</c:v>
                </c:pt>
                <c:pt idx="43">
                  <c:v>9.2460393905639607E-2</c:v>
                </c:pt>
                <c:pt idx="44">
                  <c:v>0.111500263214111</c:v>
                </c:pt>
                <c:pt idx="45">
                  <c:v>9.5148801803588895E-2</c:v>
                </c:pt>
                <c:pt idx="46">
                  <c:v>7.8550815582275405E-2</c:v>
                </c:pt>
                <c:pt idx="47">
                  <c:v>5.1023483276367201E-2</c:v>
                </c:pt>
                <c:pt idx="48">
                  <c:v>4.2447566986083998E-2</c:v>
                </c:pt>
                <c:pt idx="49">
                  <c:v>5.2466630935669001E-2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9-419A-9E2A-5375C8722F06}"/>
            </c:ext>
          </c:extLst>
        </c:ser>
        <c:ser>
          <c:idx val="1"/>
          <c:order val="1"/>
          <c:tx>
            <c:v>Geometry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'15B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'15B elementos'!$J$3:$J$52</c:f>
              <c:numCache>
                <c:formatCode>General</c:formatCode>
                <c:ptCount val="50"/>
                <c:pt idx="0">
                  <c:v>1.8886198997497561</c:v>
                </c:pt>
                <c:pt idx="1">
                  <c:v>0.1149923801422119</c:v>
                </c:pt>
                <c:pt idx="2">
                  <c:v>1.6970784664154051</c:v>
                </c:pt>
                <c:pt idx="3">
                  <c:v>0.23936653137207031</c:v>
                </c:pt>
                <c:pt idx="4">
                  <c:v>1.91222620010376</c:v>
                </c:pt>
                <c:pt idx="5">
                  <c:v>0.58646607398986816</c:v>
                </c:pt>
                <c:pt idx="6">
                  <c:v>1.754148483276367</c:v>
                </c:pt>
                <c:pt idx="7">
                  <c:v>0.117152214050293</c:v>
                </c:pt>
                <c:pt idx="8">
                  <c:v>1.6832728385925291</c:v>
                </c:pt>
                <c:pt idx="9">
                  <c:v>0.119441032409668</c:v>
                </c:pt>
                <c:pt idx="10">
                  <c:v>1.849624395370483</c:v>
                </c:pt>
                <c:pt idx="11">
                  <c:v>0.58417487144470215</c:v>
                </c:pt>
                <c:pt idx="12">
                  <c:v>2.183775663375854</c:v>
                </c:pt>
                <c:pt idx="13">
                  <c:v>0.1136806011199951</c:v>
                </c:pt>
                <c:pt idx="14">
                  <c:v>1.6818544864654541</c:v>
                </c:pt>
                <c:pt idx="15">
                  <c:v>0.58104157447814941</c:v>
                </c:pt>
                <c:pt idx="16">
                  <c:v>1.6592803001403811</c:v>
                </c:pt>
                <c:pt idx="17">
                  <c:v>0.48621320724487299</c:v>
                </c:pt>
                <c:pt idx="18">
                  <c:v>1.76085352897644</c:v>
                </c:pt>
                <c:pt idx="19">
                  <c:v>0.49222517013549799</c:v>
                </c:pt>
                <c:pt idx="20">
                  <c:v>2.1477293968200679</c:v>
                </c:pt>
                <c:pt idx="21">
                  <c:v>9.5818042755126953E-2</c:v>
                </c:pt>
                <c:pt idx="22">
                  <c:v>1.6353416442871089</c:v>
                </c:pt>
                <c:pt idx="23">
                  <c:v>0.47688817977905268</c:v>
                </c:pt>
                <c:pt idx="24">
                  <c:v>0.51998758316040039</c:v>
                </c:pt>
                <c:pt idx="25">
                  <c:v>0.1774857044219971</c:v>
                </c:pt>
                <c:pt idx="26">
                  <c:v>0.58939290046691895</c:v>
                </c:pt>
                <c:pt idx="27">
                  <c:v>0.46513819694519037</c:v>
                </c:pt>
                <c:pt idx="28">
                  <c:v>0.50172042846679688</c:v>
                </c:pt>
                <c:pt idx="29">
                  <c:v>1.966452598571777E-2</c:v>
                </c:pt>
                <c:pt idx="30">
                  <c:v>8.9427947998046875E-2</c:v>
                </c:pt>
                <c:pt idx="31">
                  <c:v>9.0413570404052734E-2</c:v>
                </c:pt>
                <c:pt idx="32">
                  <c:v>0.16971087455749509</c:v>
                </c:pt>
                <c:pt idx="33">
                  <c:v>0.37964701652526861</c:v>
                </c:pt>
                <c:pt idx="34">
                  <c:v>0.51455140113830566</c:v>
                </c:pt>
                <c:pt idx="35">
                  <c:v>0.35796594619750982</c:v>
                </c:pt>
                <c:pt idx="36">
                  <c:v>0.57903790473937988</c:v>
                </c:pt>
                <c:pt idx="37">
                  <c:v>7.8887462615966797E-2</c:v>
                </c:pt>
                <c:pt idx="38">
                  <c:v>8.1706047058105469E-2</c:v>
                </c:pt>
                <c:pt idx="39">
                  <c:v>0.4558403491973877</c:v>
                </c:pt>
                <c:pt idx="40">
                  <c:v>7.554173469543457E-2</c:v>
                </c:pt>
                <c:pt idx="41">
                  <c:v>0.47032546997070313</c:v>
                </c:pt>
                <c:pt idx="42">
                  <c:v>3.3982515335083008E-2</c:v>
                </c:pt>
                <c:pt idx="43">
                  <c:v>0.43795466423034668</c:v>
                </c:pt>
                <c:pt idx="44">
                  <c:v>0.56252479553222656</c:v>
                </c:pt>
                <c:pt idx="45">
                  <c:v>0.33099365234375</c:v>
                </c:pt>
                <c:pt idx="46">
                  <c:v>0.55325794219970703</c:v>
                </c:pt>
                <c:pt idx="47">
                  <c:v>0.32682037353515619</c:v>
                </c:pt>
                <c:pt idx="48">
                  <c:v>0.44590139389038091</c:v>
                </c:pt>
                <c:pt idx="49">
                  <c:v>0.30757808685302729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9-419A-9E2A-5375C8722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635767"/>
        <c:axId val="1282347398"/>
      </c:lineChart>
      <c:catAx>
        <c:axId val="635635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282347398"/>
        <c:crosses val="autoZero"/>
        <c:auto val="1"/>
        <c:lblAlgn val="ctr"/>
        <c:lblOffset val="100"/>
        <c:noMultiLvlLbl val="1"/>
      </c:catAx>
      <c:valAx>
        <c:axId val="1282347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6356357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Perdida Qnodes vs geometry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Qnode 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'15B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'15B elementos'!$F$3:$F$52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7.6055526733398405E-4</c:v>
                </c:pt>
                <c:pt idx="18">
                  <c:v>0</c:v>
                </c:pt>
                <c:pt idx="19">
                  <c:v>7.6055526733398405E-4</c:v>
                </c:pt>
                <c:pt idx="20">
                  <c:v>7.6055526733398405E-4</c:v>
                </c:pt>
                <c:pt idx="21">
                  <c:v>0</c:v>
                </c:pt>
                <c:pt idx="22">
                  <c:v>0</c:v>
                </c:pt>
                <c:pt idx="23">
                  <c:v>9.9778175354003906E-5</c:v>
                </c:pt>
                <c:pt idx="24">
                  <c:v>7.6055526733398405E-4</c:v>
                </c:pt>
                <c:pt idx="25">
                  <c:v>0</c:v>
                </c:pt>
                <c:pt idx="26">
                  <c:v>0</c:v>
                </c:pt>
                <c:pt idx="27">
                  <c:v>2.0146369934081999E-4</c:v>
                </c:pt>
                <c:pt idx="28">
                  <c:v>9.9778175354003906E-5</c:v>
                </c:pt>
                <c:pt idx="29">
                  <c:v>9.9778175354003906E-5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2.0146369934081999E-4</c:v>
                </c:pt>
                <c:pt idx="34">
                  <c:v>2.0146369934081999E-4</c:v>
                </c:pt>
                <c:pt idx="35">
                  <c:v>9.9778175354003906E-5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2.0146369934081999E-4</c:v>
                </c:pt>
                <c:pt idx="40">
                  <c:v>0</c:v>
                </c:pt>
                <c:pt idx="41">
                  <c:v>7.6055526733398405E-4</c:v>
                </c:pt>
                <c:pt idx="42">
                  <c:v>1.51091814041138E-3</c:v>
                </c:pt>
                <c:pt idx="43">
                  <c:v>9.9778175354003906E-5</c:v>
                </c:pt>
                <c:pt idx="44">
                  <c:v>7.6055526733398405E-4</c:v>
                </c:pt>
                <c:pt idx="45">
                  <c:v>2.7585029602050798E-4</c:v>
                </c:pt>
                <c:pt idx="46">
                  <c:v>3.3921003341674799E-4</c:v>
                </c:pt>
                <c:pt idx="47">
                  <c:v>9.5146894454956098E-4</c:v>
                </c:pt>
                <c:pt idx="48">
                  <c:v>9.9778175354003906E-5</c:v>
                </c:pt>
                <c:pt idx="49">
                  <c:v>2.0146369934081999E-4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5D-4CD2-BBD3-1C122C05E96F}"/>
            </c:ext>
          </c:extLst>
        </c:ser>
        <c:ser>
          <c:idx val="1"/>
          <c:order val="1"/>
          <c:tx>
            <c:v>Geometry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'15B elementos'!$A$3:$A$52</c:f>
              <c:strCache>
                <c:ptCount val="50"/>
                <c:pt idx="0">
                  <c:v>ABCDEFGHIJKLMNO_{t+1}|ABCDEFGHIJKLMNO_{t}</c:v>
                </c:pt>
                <c:pt idx="1">
                  <c:v>ABCDEFGHIJKLMNO_{t+1}|ABCDEFGHIJKLMN_{t}</c:v>
                </c:pt>
                <c:pt idx="2">
                  <c:v>ABCDEFGHIJKLMNO_{t+1}|BCDEFGHIJKLMNO_{t}</c:v>
                </c:pt>
                <c:pt idx="3">
                  <c:v>ABCDEFGHIJKLMN_{t+1}|ABCDEFGHIJKLMNO_{t}</c:v>
                </c:pt>
                <c:pt idx="4">
                  <c:v>BCDEFGHIJKLMNO_{t+1}|ABCDEFGHIJKLMNO_{t}</c:v>
                </c:pt>
                <c:pt idx="5">
                  <c:v>ABCDEFGHIJKLMNO_{t+1}|BCDEFGHIJKLMN_{t}</c:v>
                </c:pt>
                <c:pt idx="6">
                  <c:v>ABCDEFGHIJKLMN_{t+1}|ABCDEFGHIJKLMN_{t}</c:v>
                </c:pt>
                <c:pt idx="7">
                  <c:v>ABCDEFGHIJKLMN_{t+1}|BCDEFGHIJKLMNO_{t}</c:v>
                </c:pt>
                <c:pt idx="8">
                  <c:v>BCDEFGHIJKLMNO_{t+1}|ABCDEFGHIJKLMN_{t}</c:v>
                </c:pt>
                <c:pt idx="9">
                  <c:v>BCDEFGHIJKLMNO_{t+1}|BCDEFGHIJKLMNO_{t}</c:v>
                </c:pt>
                <c:pt idx="10">
                  <c:v>BCDEFGHIJKLMN_{t+1}|ABCDEFGHIJKLMNO_{t}</c:v>
                </c:pt>
                <c:pt idx="11">
                  <c:v>ABCDEFGHIJKLMN_{t+1}|BCDEFGHIJKLMN_{t}</c:v>
                </c:pt>
                <c:pt idx="12">
                  <c:v>BCDEFGHIJKLMNO_{t+1}|BCDEFGHIJKLMN_{t}</c:v>
                </c:pt>
                <c:pt idx="13">
                  <c:v>BCDEFGHIJKLMN_{t+1}|ABCDEFGHIJKLMN_{t}</c:v>
                </c:pt>
                <c:pt idx="14">
                  <c:v>BCDEFGHIJKLMN_{t+1}|BCDEFGHIJKLMNO_{t}</c:v>
                </c:pt>
                <c:pt idx="15">
                  <c:v>BCDEFGHIJKLMN_{t+1}|BCDEFGHIJKLMN_{t}</c:v>
                </c:pt>
                <c:pt idx="16">
                  <c:v>BCDEFGJKLMNO_{t+1}|BCDEFGHIJKLMNO_{t}</c:v>
                </c:pt>
                <c:pt idx="17">
                  <c:v>ABCDEFGHIJKLMNO_{t+1}|ABDEGHJKMN_{t}</c:v>
                </c:pt>
                <c:pt idx="18">
                  <c:v>ABDEGHJKMN_{t+1}|ABCDEFGHIJKLMNO_{t}</c:v>
                </c:pt>
                <c:pt idx="19">
                  <c:v>ABCDEFGHIJKLMN_{t+1}|ABDEGHJKMN_{t}</c:v>
                </c:pt>
                <c:pt idx="20">
                  <c:v>BCDEFGHIJKLMNO_{t+1}|ABDEGHJKMN_{t}</c:v>
                </c:pt>
                <c:pt idx="21">
                  <c:v>ABDEGHJKMN_{t+1}|ABCDEFGHIJKLMN_{t}</c:v>
                </c:pt>
                <c:pt idx="22">
                  <c:v>ABDEGHJKMN_{t+1}|BCDEFGHIJKLMNO_{t}</c:v>
                </c:pt>
                <c:pt idx="23">
                  <c:v>ABCDEFGHIJKLMNO_{t+1}|ACEGIKMO_{t}</c:v>
                </c:pt>
                <c:pt idx="24">
                  <c:v>BCDEFGHIJKLMN_{t+1}|ABDEGHJKMN_{t}</c:v>
                </c:pt>
                <c:pt idx="25">
                  <c:v>ACEGIKMO_{t+1}|ABCDEFGHIJKLMNO_{t}</c:v>
                </c:pt>
                <c:pt idx="26">
                  <c:v>ABDEGHJKMN_{t+1}|BCDEFGHIJKLMN_{t}</c:v>
                </c:pt>
                <c:pt idx="27">
                  <c:v>ABCDEFGHIJKLMNO_{t+1}|BDFHJLN_{t}</c:v>
                </c:pt>
                <c:pt idx="28">
                  <c:v>ABCDEFGHIJKLMN_{t+1}|ACEGIKMO_{t}</c:v>
                </c:pt>
                <c:pt idx="29">
                  <c:v>BCDEFGHIJKLMNO_{t+1}|ACEGIKMO_{t}</c:v>
                </c:pt>
                <c:pt idx="30">
                  <c:v>ACEGIKMO_{t+1}|ABCDEFGHIJKLMN_{t}</c:v>
                </c:pt>
                <c:pt idx="31">
                  <c:v>ACEGIKMO_{t+1}|BCDEFGHIJKLMNO_{t}</c:v>
                </c:pt>
                <c:pt idx="32">
                  <c:v>BDFHJLN_{t+1}|ABCDEFGHIJKLMNO_{t}</c:v>
                </c:pt>
                <c:pt idx="33">
                  <c:v>ABCDEFGHIJKLMN_{t+1}|BDFHJLN_{t}</c:v>
                </c:pt>
                <c:pt idx="34">
                  <c:v>BCDEFGHIJKLMNO_{t+1}|BDFHJLN_{t}</c:v>
                </c:pt>
                <c:pt idx="35">
                  <c:v>BCDEFGHIJKLMN_{t+1}|ACEGIKMO_{t}</c:v>
                </c:pt>
                <c:pt idx="36">
                  <c:v>ACEGIKMO_{t+1}|BCDEFGHIJKLMN_{t}</c:v>
                </c:pt>
                <c:pt idx="37">
                  <c:v>BDFHJLN_{t+1}|ABCDEFGHIJKLMN_{t}</c:v>
                </c:pt>
                <c:pt idx="38">
                  <c:v>BDFHJLN_{t+1}|BCDEFGHIJKLMNO_{t}</c:v>
                </c:pt>
                <c:pt idx="39">
                  <c:v>BCDEFGHIJKLMN_{t+1}|BDFHJLN_{t}</c:v>
                </c:pt>
                <c:pt idx="40">
                  <c:v>BDFHJLN_{t+1}|BCDEFGHIJKLMN_{t}</c:v>
                </c:pt>
                <c:pt idx="41">
                  <c:v>ABDEGHJKMN_{t+1}|ABDEGHJKMN_{t}</c:v>
                </c:pt>
                <c:pt idx="42">
                  <c:v>ACEGIKMO_{t+1}|ABDEGHJKMN_{t}</c:v>
                </c:pt>
                <c:pt idx="43">
                  <c:v>ABDEGHJKMN_{t+1}|ACEGIKMO_{t}</c:v>
                </c:pt>
                <c:pt idx="44">
                  <c:v>BDFHJLN_{t+1}|ABDEGHJKMN_{t}</c:v>
                </c:pt>
                <c:pt idx="45">
                  <c:v>ABDEGHJKMN_{t+1}|BDFHJLN_{t}</c:v>
                </c:pt>
                <c:pt idx="46">
                  <c:v>ACEGIKMO_{t+1}|ACEGIKMO_{t}</c:v>
                </c:pt>
                <c:pt idx="47">
                  <c:v>ACEGIKMO_{t+1}|BDFHJLN_{t}</c:v>
                </c:pt>
                <c:pt idx="48">
                  <c:v>BDFHJLN_{t+1}|ACEGIKMO_{t}</c:v>
                </c:pt>
                <c:pt idx="49">
                  <c:v>BDFHJLN_{t+1}|BDFHJLN_{t}</c:v>
                </c:pt>
              </c:strCache>
            </c:strRef>
          </c:cat>
          <c:val>
            <c:numRef>
              <c:f>'15B elementos'!$I$3:$I$52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4.7147274017333978E-5</c:v>
                </c:pt>
                <c:pt idx="18">
                  <c:v>0</c:v>
                </c:pt>
                <c:pt idx="19">
                  <c:v>1.337826251983643E-3</c:v>
                </c:pt>
                <c:pt idx="20">
                  <c:v>4.7147274017333978E-5</c:v>
                </c:pt>
                <c:pt idx="21">
                  <c:v>0</c:v>
                </c:pt>
                <c:pt idx="22">
                  <c:v>0</c:v>
                </c:pt>
                <c:pt idx="23">
                  <c:v>4.1897892951965332E-3</c:v>
                </c:pt>
                <c:pt idx="24">
                  <c:v>1.337826251983643E-3</c:v>
                </c:pt>
                <c:pt idx="25">
                  <c:v>0</c:v>
                </c:pt>
                <c:pt idx="26">
                  <c:v>0</c:v>
                </c:pt>
                <c:pt idx="27">
                  <c:v>7.0973634719848633E-3</c:v>
                </c:pt>
                <c:pt idx="28">
                  <c:v>4.1897892951965332E-3</c:v>
                </c:pt>
                <c:pt idx="29">
                  <c:v>4.1897892951965332E-3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7.0973634719848633E-3</c:v>
                </c:pt>
                <c:pt idx="34">
                  <c:v>7.0973634719848633E-3</c:v>
                </c:pt>
                <c:pt idx="35">
                  <c:v>4.1897892951965332E-3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7.0973634719848633E-3</c:v>
                </c:pt>
                <c:pt idx="40">
                  <c:v>0</c:v>
                </c:pt>
                <c:pt idx="41">
                  <c:v>1.337826251983643E-3</c:v>
                </c:pt>
                <c:pt idx="42">
                  <c:v>4.7147274017333978E-5</c:v>
                </c:pt>
                <c:pt idx="43">
                  <c:v>4.378199577331543E-3</c:v>
                </c:pt>
                <c:pt idx="44">
                  <c:v>1.337826251983643E-3</c:v>
                </c:pt>
                <c:pt idx="45">
                  <c:v>7.0973634719848633E-3</c:v>
                </c:pt>
                <c:pt idx="46">
                  <c:v>4.378199577331543E-3</c:v>
                </c:pt>
                <c:pt idx="47">
                  <c:v>7.0973634719848633E-3</c:v>
                </c:pt>
                <c:pt idx="48">
                  <c:v>4.1897892951965332E-3</c:v>
                </c:pt>
                <c:pt idx="49">
                  <c:v>8.7940692901611328E-3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25D-4CD2-BBD3-1C122C05E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530677"/>
        <c:axId val="1640517103"/>
      </c:barChart>
      <c:catAx>
        <c:axId val="16055306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40517103"/>
        <c:crosses val="autoZero"/>
        <c:auto val="1"/>
        <c:lblAlgn val="ctr"/>
        <c:lblOffset val="100"/>
        <c:noMultiLvlLbl val="1"/>
      </c:catAx>
      <c:valAx>
        <c:axId val="1640517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055306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tiempo qnodes vs geometry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Geometry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'20elementos'!$A$4:$A$53</c:f>
              <c:strCache>
                <c:ptCount val="50"/>
                <c:pt idx="0">
                  <c:v>ABCDEFGHIJKLMNOPQRST_{t+1}|ABCDEFGHIJKLMNOPQRST_{t}</c:v>
                </c:pt>
                <c:pt idx="1">
                  <c:v>ABCDEFGHIJKLMNOPQRST_{t+1}|ABCDEFGHIJKLMNOPQRS_{t}</c:v>
                </c:pt>
                <c:pt idx="2">
                  <c:v>ABCDEFGHIJKLMNOPQRST_{t+1}|BCDEFGHIJKLMNOPQRST_{t}</c:v>
                </c:pt>
                <c:pt idx="3">
                  <c:v>ABCDEFGHIJKLMNOPQRS_{t+1}|ABCDEFGHIJKLMNOPQRST_{t}</c:v>
                </c:pt>
                <c:pt idx="4">
                  <c:v>BCDEFGHIJKLMNOPQRST_{t+1}|ABCDEFGHIJKLMNOPQRST_{t}</c:v>
                </c:pt>
                <c:pt idx="5">
                  <c:v>ABCDEFGHIJKLMNOPQRST_{t+1}|BCDEFGHIJKLMNOPQRS_{t}</c:v>
                </c:pt>
                <c:pt idx="6">
                  <c:v>ABCDEFGHIJKLMNOPQRS_{t+1}|ABCDEFGHIJKLMNOPQRS_{t}</c:v>
                </c:pt>
                <c:pt idx="7">
                  <c:v>ABCDEFGHIJKLMNOPQRS_{t+1}|BCDEFGHIJKLMNOPQRST_{t}</c:v>
                </c:pt>
                <c:pt idx="8">
                  <c:v>BCDEFGHIJKLMNOPQRST_{t+1}|ABCDEFGHIJKLMNOPQRS_{t}</c:v>
                </c:pt>
                <c:pt idx="9">
                  <c:v>BCDEFGHIJKLMNOPQRST_{t+1}|BCDEFGHIJKLMNOPQRST_{t}</c:v>
                </c:pt>
                <c:pt idx="10">
                  <c:v>BCDEFGHIJKLMNOPQRS_{t+1}|ABCDEFGHIJKLMNOPQRST_{t}</c:v>
                </c:pt>
                <c:pt idx="11">
                  <c:v>ACDEFGHIJKLMNOPQRST_{t+1}|ACDEFGHIJKLMNOPQRST_{t}</c:v>
                </c:pt>
                <c:pt idx="12">
                  <c:v>ABCDEFGHIJKLMNOPQRS_{t+1}|BCDEFGHIJKLMNOPQRS_{t}</c:v>
                </c:pt>
                <c:pt idx="13">
                  <c:v>BCDEFGHIJKLMNOPQRST_{t+1}|BCDEFGHIJKLMNOPQRS_{t}</c:v>
                </c:pt>
                <c:pt idx="14">
                  <c:v>BCDEFGHIJKLMNOPQRS_{t+1}|ABCDEFGHIJKLMNOPQRS_{t}</c:v>
                </c:pt>
                <c:pt idx="15">
                  <c:v>BCDEFGHIJKLMNOPQRS_{t+1}|BCDEFGHIJKLMNOPQRST_{t}</c:v>
                </c:pt>
                <c:pt idx="16">
                  <c:v>BCDEFGHIJKLMNOPQRS_{t+1}|BCDEFGHIJKLMNOPQRS_{t}</c:v>
                </c:pt>
                <c:pt idx="17">
                  <c:v>ABCDEFGHIJKLMNOPQRST_{t+1}|ABDEGHJKMNPQST_{t}</c:v>
                </c:pt>
                <c:pt idx="18">
                  <c:v>ABDEGHJKMNPQST_{t+1}|ABCDEFGHIJKLMNOPQRST_{t}</c:v>
                </c:pt>
                <c:pt idx="19">
                  <c:v>ABCDEFGHIJKLMNOPQRS_{t+1}|ABDEGHJKMNPQST_{t}</c:v>
                </c:pt>
                <c:pt idx="20">
                  <c:v>BCDEFGHIJKLMNOPQRST_{t+1}|ABDEGHJKMNPQST_{t}</c:v>
                </c:pt>
                <c:pt idx="21">
                  <c:v>ABDEGHJKMNPQST_{t+1}|ABCDEFGHIJKLMNOPQRS_{t}</c:v>
                </c:pt>
                <c:pt idx="22">
                  <c:v>ABDEGHJKMNPQST_{t+1}|BCDEFGHIJKLMNOPQRST_{t}</c:v>
                </c:pt>
                <c:pt idx="23">
                  <c:v>BCDEFGHIJKLMNOPQRS_{t+1}|ABDEGHJKMNPQST_{t}</c:v>
                </c:pt>
                <c:pt idx="24">
                  <c:v>ABDEGHJKMNPQST_{t+1}|BCDEFGHIJKLMNOPQRS_{t}</c:v>
                </c:pt>
                <c:pt idx="25">
                  <c:v>ABCDEFGHIJKLMNOPQRST_{t+1}|ACEGIKMOQS_{t}</c:v>
                </c:pt>
                <c:pt idx="26">
                  <c:v>ABCDEFGHIJKLMNOPQRST_{t+1}|BDFHJLNPRT_{t}</c:v>
                </c:pt>
                <c:pt idx="27">
                  <c:v>ACEGIKMOQS_{t+1}|ABCDEFGHIJKLMNOPQRST_{t}</c:v>
                </c:pt>
                <c:pt idx="28">
                  <c:v>BDFHJLNPRT_{t+1}|ABCDEFGHIJKLMNOPQRST_{t}</c:v>
                </c:pt>
                <c:pt idx="29">
                  <c:v>ABCDEFGHIJKLMNOPQRS_{t+1}|ACEGIKMOQS_{t}</c:v>
                </c:pt>
                <c:pt idx="30">
                  <c:v>ABCDEFGHIJKLMNOPQRS_{t+1}|BDFHJLNPRT_{t}</c:v>
                </c:pt>
                <c:pt idx="31">
                  <c:v>BCDEFGHIJKLMNOPQRST_{t+1}|ACEGIKMOQS_{t}</c:v>
                </c:pt>
                <c:pt idx="32">
                  <c:v>BCDEFGHIJKLMNOPQRST_{t+1}|BDFHJLNPRT_{t}</c:v>
                </c:pt>
                <c:pt idx="33">
                  <c:v>ACEGIKMOQS_{t+1}|ABCDEFGHIJKLMNOPQRS_{t}</c:v>
                </c:pt>
                <c:pt idx="34">
                  <c:v>ACEGIKMOQS_{t+1}|BCDEFGHIJKLMNOPQRST_{t}</c:v>
                </c:pt>
                <c:pt idx="35">
                  <c:v>BDFHJLNPRT_{t+1}|ABCDEFGHIJKLMNOPQRS_{t}</c:v>
                </c:pt>
                <c:pt idx="36">
                  <c:v>BDFHJLNPRT_{t+1}|BCDEFGHIJKLMNOPQRST_{t}</c:v>
                </c:pt>
                <c:pt idx="37">
                  <c:v>BCDEFGHIJKLMNOPQRS_{t+1}|ACEGIKMOQS_{t}</c:v>
                </c:pt>
                <c:pt idx="38">
                  <c:v>BCDEFGHIJKLMNOPQRS_{t+1}|BDFHJLNPRT_{t}</c:v>
                </c:pt>
                <c:pt idx="39">
                  <c:v>ACEGIKMOQS_{t+1}|BCDEFGHIJKLMNOPQRS_{t}</c:v>
                </c:pt>
                <c:pt idx="40">
                  <c:v>BDFHJLNPRT_{t+1}|BCDEFGHIJKLMNOPQRS_{t}</c:v>
                </c:pt>
                <c:pt idx="41">
                  <c:v>ABDEGHJKMNPQST_{t+1}|ABDEGHJKMNPQST_{t}</c:v>
                </c:pt>
                <c:pt idx="42">
                  <c:v>ACEGIKMOQS_{t+1}|ABDEGHJKMNPQST_{t}</c:v>
                </c:pt>
                <c:pt idx="43">
                  <c:v>BDFHJLNPRT_{t+1}|ABDEGHJKMNPQST_{t}</c:v>
                </c:pt>
                <c:pt idx="44">
                  <c:v>ABDEGHJKMNPQST_{t+1}|ACEGIKMOQS_{t}</c:v>
                </c:pt>
                <c:pt idx="45">
                  <c:v>ABDEGHJKMNPQST_{t+1}|BDFHJLNPRT_{t}</c:v>
                </c:pt>
                <c:pt idx="46">
                  <c:v>ACEGIKMOQS_{t+1}|ACEGIKMOQS_{t}</c:v>
                </c:pt>
                <c:pt idx="47">
                  <c:v>ACEGIKMOQS_{t+1}|BDFHJLNPRT_{t}</c:v>
                </c:pt>
                <c:pt idx="48">
                  <c:v>BDFHJLNPRT_{t+1}|ACEGIKMOQS_{t}</c:v>
                </c:pt>
                <c:pt idx="49">
                  <c:v>BDFHJLNPRT_{t+1}|BDFHJLNPRT_{t}</c:v>
                </c:pt>
              </c:strCache>
            </c:strRef>
          </c:cat>
          <c:val>
            <c:numRef>
              <c:f>'20elementos'!$J$4:$J$53</c:f>
              <c:numCache>
                <c:formatCode>General</c:formatCode>
                <c:ptCount val="50"/>
                <c:pt idx="0">
                  <c:v>68.794543504714966</c:v>
                </c:pt>
                <c:pt idx="1">
                  <c:v>30.815535306930538</c:v>
                </c:pt>
                <c:pt idx="2">
                  <c:v>29.194426298141479</c:v>
                </c:pt>
                <c:pt idx="3">
                  <c:v>60.598030567169189</c:v>
                </c:pt>
                <c:pt idx="4">
                  <c:v>68.314605474472046</c:v>
                </c:pt>
                <c:pt idx="5">
                  <c:v>17.53411865234375</c:v>
                </c:pt>
                <c:pt idx="6">
                  <c:v>28.142538785934448</c:v>
                </c:pt>
                <c:pt idx="7">
                  <c:v>27.18853068351746</c:v>
                </c:pt>
                <c:pt idx="8">
                  <c:v>28.892688035964969</c:v>
                </c:pt>
                <c:pt idx="9">
                  <c:v>27.24203085899353</c:v>
                </c:pt>
                <c:pt idx="10">
                  <c:v>68.428916692733765</c:v>
                </c:pt>
                <c:pt idx="11">
                  <c:v>31.047780513763431</c:v>
                </c:pt>
                <c:pt idx="12">
                  <c:v>15.403097629547119</c:v>
                </c:pt>
                <c:pt idx="13">
                  <c:v>17.743714094161991</c:v>
                </c:pt>
                <c:pt idx="14">
                  <c:v>27.451525449752811</c:v>
                </c:pt>
                <c:pt idx="15">
                  <c:v>26.182022333145142</c:v>
                </c:pt>
                <c:pt idx="16">
                  <c:v>14.79267024993896</c:v>
                </c:pt>
                <c:pt idx="17">
                  <c:v>0.70409607887268066</c:v>
                </c:pt>
                <c:pt idx="18">
                  <c:v>62.244285583496087</c:v>
                </c:pt>
                <c:pt idx="19">
                  <c:v>0.7004086971282959</c:v>
                </c:pt>
                <c:pt idx="20">
                  <c:v>3.448030948638916</c:v>
                </c:pt>
                <c:pt idx="21">
                  <c:v>31.517241239547729</c:v>
                </c:pt>
                <c:pt idx="22">
                  <c:v>26.018165826797489</c:v>
                </c:pt>
                <c:pt idx="23">
                  <c:v>0.76372313499450684</c:v>
                </c:pt>
                <c:pt idx="24">
                  <c:v>11.548499822616581</c:v>
                </c:pt>
                <c:pt idx="25">
                  <c:v>0.80233049392700195</c:v>
                </c:pt>
                <c:pt idx="26">
                  <c:v>2.2449016571044922</c:v>
                </c:pt>
                <c:pt idx="27">
                  <c:v>46.439979553222663</c:v>
                </c:pt>
                <c:pt idx="28">
                  <c:v>48.804084777832031</c:v>
                </c:pt>
                <c:pt idx="29">
                  <c:v>1.5981090068817141</c:v>
                </c:pt>
                <c:pt idx="30">
                  <c:v>1.1405351161956789</c:v>
                </c:pt>
                <c:pt idx="31">
                  <c:v>8.648371696472168E-2</c:v>
                </c:pt>
                <c:pt idx="32">
                  <c:v>1.67835545539856</c:v>
                </c:pt>
                <c:pt idx="33">
                  <c:v>21.25754618644714</c:v>
                </c:pt>
                <c:pt idx="34">
                  <c:v>24.30158257484436</c:v>
                </c:pt>
                <c:pt idx="35">
                  <c:v>12.917327165603639</c:v>
                </c:pt>
                <c:pt idx="36">
                  <c:v>23.617360353469849</c:v>
                </c:pt>
                <c:pt idx="37">
                  <c:v>0.53083038330078125</c:v>
                </c:pt>
                <c:pt idx="38">
                  <c:v>0.65323138236999512</c:v>
                </c:pt>
                <c:pt idx="39">
                  <c:v>10.321160554885861</c:v>
                </c:pt>
                <c:pt idx="40">
                  <c:v>12.78840970993042</c:v>
                </c:pt>
                <c:pt idx="41">
                  <c:v>0.51651644706726074</c:v>
                </c:pt>
                <c:pt idx="42">
                  <c:v>0.53618383407592773</c:v>
                </c:pt>
                <c:pt idx="43">
                  <c:v>0.48036623001098627</c:v>
                </c:pt>
                <c:pt idx="44">
                  <c:v>0.1009998321533203</c:v>
                </c:pt>
                <c:pt idx="45">
                  <c:v>4.9516201019287109E-2</c:v>
                </c:pt>
                <c:pt idx="46">
                  <c:v>1.0663855075836179</c:v>
                </c:pt>
                <c:pt idx="47">
                  <c:v>4.5998334884643548E-2</c:v>
                </c:pt>
                <c:pt idx="48">
                  <c:v>0.67058825492858887</c:v>
                </c:pt>
                <c:pt idx="49">
                  <c:v>5.8000087738037109E-2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5-463D-AF7E-B7A11ECCC275}"/>
            </c:ext>
          </c:extLst>
        </c:ser>
        <c:ser>
          <c:idx val="1"/>
          <c:order val="1"/>
          <c:tx>
            <c:v>Qnode actual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'20elementos'!$A$4:$A$53</c:f>
              <c:strCache>
                <c:ptCount val="50"/>
                <c:pt idx="0">
                  <c:v>ABCDEFGHIJKLMNOPQRST_{t+1}|ABCDEFGHIJKLMNOPQRST_{t}</c:v>
                </c:pt>
                <c:pt idx="1">
                  <c:v>ABCDEFGHIJKLMNOPQRST_{t+1}|ABCDEFGHIJKLMNOPQRS_{t}</c:v>
                </c:pt>
                <c:pt idx="2">
                  <c:v>ABCDEFGHIJKLMNOPQRST_{t+1}|BCDEFGHIJKLMNOPQRST_{t}</c:v>
                </c:pt>
                <c:pt idx="3">
                  <c:v>ABCDEFGHIJKLMNOPQRS_{t+1}|ABCDEFGHIJKLMNOPQRST_{t}</c:v>
                </c:pt>
                <c:pt idx="4">
                  <c:v>BCDEFGHIJKLMNOPQRST_{t+1}|ABCDEFGHIJKLMNOPQRST_{t}</c:v>
                </c:pt>
                <c:pt idx="5">
                  <c:v>ABCDEFGHIJKLMNOPQRST_{t+1}|BCDEFGHIJKLMNOPQRS_{t}</c:v>
                </c:pt>
                <c:pt idx="6">
                  <c:v>ABCDEFGHIJKLMNOPQRS_{t+1}|ABCDEFGHIJKLMNOPQRS_{t}</c:v>
                </c:pt>
                <c:pt idx="7">
                  <c:v>ABCDEFGHIJKLMNOPQRS_{t+1}|BCDEFGHIJKLMNOPQRST_{t}</c:v>
                </c:pt>
                <c:pt idx="8">
                  <c:v>BCDEFGHIJKLMNOPQRST_{t+1}|ABCDEFGHIJKLMNOPQRS_{t}</c:v>
                </c:pt>
                <c:pt idx="9">
                  <c:v>BCDEFGHIJKLMNOPQRST_{t+1}|BCDEFGHIJKLMNOPQRST_{t}</c:v>
                </c:pt>
                <c:pt idx="10">
                  <c:v>BCDEFGHIJKLMNOPQRS_{t+1}|ABCDEFGHIJKLMNOPQRST_{t}</c:v>
                </c:pt>
                <c:pt idx="11">
                  <c:v>ACDEFGHIJKLMNOPQRST_{t+1}|ACDEFGHIJKLMNOPQRST_{t}</c:v>
                </c:pt>
                <c:pt idx="12">
                  <c:v>ABCDEFGHIJKLMNOPQRS_{t+1}|BCDEFGHIJKLMNOPQRS_{t}</c:v>
                </c:pt>
                <c:pt idx="13">
                  <c:v>BCDEFGHIJKLMNOPQRST_{t+1}|BCDEFGHIJKLMNOPQRS_{t}</c:v>
                </c:pt>
                <c:pt idx="14">
                  <c:v>BCDEFGHIJKLMNOPQRS_{t+1}|ABCDEFGHIJKLMNOPQRS_{t}</c:v>
                </c:pt>
                <c:pt idx="15">
                  <c:v>BCDEFGHIJKLMNOPQRS_{t+1}|BCDEFGHIJKLMNOPQRST_{t}</c:v>
                </c:pt>
                <c:pt idx="16">
                  <c:v>BCDEFGHIJKLMNOPQRS_{t+1}|BCDEFGHIJKLMNOPQRS_{t}</c:v>
                </c:pt>
                <c:pt idx="17">
                  <c:v>ABCDEFGHIJKLMNOPQRST_{t+1}|ABDEGHJKMNPQST_{t}</c:v>
                </c:pt>
                <c:pt idx="18">
                  <c:v>ABDEGHJKMNPQST_{t+1}|ABCDEFGHIJKLMNOPQRST_{t}</c:v>
                </c:pt>
                <c:pt idx="19">
                  <c:v>ABCDEFGHIJKLMNOPQRS_{t+1}|ABDEGHJKMNPQST_{t}</c:v>
                </c:pt>
                <c:pt idx="20">
                  <c:v>BCDEFGHIJKLMNOPQRST_{t+1}|ABDEGHJKMNPQST_{t}</c:v>
                </c:pt>
                <c:pt idx="21">
                  <c:v>ABDEGHJKMNPQST_{t+1}|ABCDEFGHIJKLMNOPQRS_{t}</c:v>
                </c:pt>
                <c:pt idx="22">
                  <c:v>ABDEGHJKMNPQST_{t+1}|BCDEFGHIJKLMNOPQRST_{t}</c:v>
                </c:pt>
                <c:pt idx="23">
                  <c:v>BCDEFGHIJKLMNOPQRS_{t+1}|ABDEGHJKMNPQST_{t}</c:v>
                </c:pt>
                <c:pt idx="24">
                  <c:v>ABDEGHJKMNPQST_{t+1}|BCDEFGHIJKLMNOPQRS_{t}</c:v>
                </c:pt>
                <c:pt idx="25">
                  <c:v>ABCDEFGHIJKLMNOPQRST_{t+1}|ACEGIKMOQS_{t}</c:v>
                </c:pt>
                <c:pt idx="26">
                  <c:v>ABCDEFGHIJKLMNOPQRST_{t+1}|BDFHJLNPRT_{t}</c:v>
                </c:pt>
                <c:pt idx="27">
                  <c:v>ACEGIKMOQS_{t+1}|ABCDEFGHIJKLMNOPQRST_{t}</c:v>
                </c:pt>
                <c:pt idx="28">
                  <c:v>BDFHJLNPRT_{t+1}|ABCDEFGHIJKLMNOPQRST_{t}</c:v>
                </c:pt>
                <c:pt idx="29">
                  <c:v>ABCDEFGHIJKLMNOPQRS_{t+1}|ACEGIKMOQS_{t}</c:v>
                </c:pt>
                <c:pt idx="30">
                  <c:v>ABCDEFGHIJKLMNOPQRS_{t+1}|BDFHJLNPRT_{t}</c:v>
                </c:pt>
                <c:pt idx="31">
                  <c:v>BCDEFGHIJKLMNOPQRST_{t+1}|ACEGIKMOQS_{t}</c:v>
                </c:pt>
                <c:pt idx="32">
                  <c:v>BCDEFGHIJKLMNOPQRST_{t+1}|BDFHJLNPRT_{t}</c:v>
                </c:pt>
                <c:pt idx="33">
                  <c:v>ACEGIKMOQS_{t+1}|ABCDEFGHIJKLMNOPQRS_{t}</c:v>
                </c:pt>
                <c:pt idx="34">
                  <c:v>ACEGIKMOQS_{t+1}|BCDEFGHIJKLMNOPQRST_{t}</c:v>
                </c:pt>
                <c:pt idx="35">
                  <c:v>BDFHJLNPRT_{t+1}|ABCDEFGHIJKLMNOPQRS_{t}</c:v>
                </c:pt>
                <c:pt idx="36">
                  <c:v>BDFHJLNPRT_{t+1}|BCDEFGHIJKLMNOPQRST_{t}</c:v>
                </c:pt>
                <c:pt idx="37">
                  <c:v>BCDEFGHIJKLMNOPQRS_{t+1}|ACEGIKMOQS_{t}</c:v>
                </c:pt>
                <c:pt idx="38">
                  <c:v>BCDEFGHIJKLMNOPQRS_{t+1}|BDFHJLNPRT_{t}</c:v>
                </c:pt>
                <c:pt idx="39">
                  <c:v>ACEGIKMOQS_{t+1}|BCDEFGHIJKLMNOPQRS_{t}</c:v>
                </c:pt>
                <c:pt idx="40">
                  <c:v>BDFHJLNPRT_{t+1}|BCDEFGHIJKLMNOPQRS_{t}</c:v>
                </c:pt>
                <c:pt idx="41">
                  <c:v>ABDEGHJKMNPQST_{t+1}|ABDEGHJKMNPQST_{t}</c:v>
                </c:pt>
                <c:pt idx="42">
                  <c:v>ACEGIKMOQS_{t+1}|ABDEGHJKMNPQST_{t}</c:v>
                </c:pt>
                <c:pt idx="43">
                  <c:v>BDFHJLNPRT_{t+1}|ABDEGHJKMNPQST_{t}</c:v>
                </c:pt>
                <c:pt idx="44">
                  <c:v>ABDEGHJKMNPQST_{t+1}|ACEGIKMOQS_{t}</c:v>
                </c:pt>
                <c:pt idx="45">
                  <c:v>ABDEGHJKMNPQST_{t+1}|BDFHJLNPRT_{t}</c:v>
                </c:pt>
                <c:pt idx="46">
                  <c:v>ACEGIKMOQS_{t+1}|ACEGIKMOQS_{t}</c:v>
                </c:pt>
                <c:pt idx="47">
                  <c:v>ACEGIKMOQS_{t+1}|BDFHJLNPRT_{t}</c:v>
                </c:pt>
                <c:pt idx="48">
                  <c:v>BDFHJLNPRT_{t+1}|ACEGIKMOQS_{t}</c:v>
                </c:pt>
                <c:pt idx="49">
                  <c:v>BDFHJLNPRT_{t+1}|BDFHJLNPRT_{t}</c:v>
                </c:pt>
              </c:strCache>
            </c:strRef>
          </c:cat>
          <c:val>
            <c:numRef>
              <c:f>'20elementos'!$G$4:$G$53</c:f>
              <c:numCache>
                <c:formatCode>General</c:formatCode>
                <c:ptCount val="50"/>
                <c:pt idx="0">
                  <c:v>995.15310215950001</c:v>
                </c:pt>
                <c:pt idx="1">
                  <c:v>784.23097562789906</c:v>
                </c:pt>
                <c:pt idx="2">
                  <c:v>787.44592046737705</c:v>
                </c:pt>
                <c:pt idx="3">
                  <c:v>957.99693751335099</c:v>
                </c:pt>
                <c:pt idx="4">
                  <c:v>966.76865696906998</c:v>
                </c:pt>
                <c:pt idx="5">
                  <c:v>699.068212032318</c:v>
                </c:pt>
                <c:pt idx="6">
                  <c:v>774.71917772293102</c:v>
                </c:pt>
                <c:pt idx="7">
                  <c:v>777.63958024978604</c:v>
                </c:pt>
                <c:pt idx="8">
                  <c:v>773.44085383415199</c:v>
                </c:pt>
                <c:pt idx="9">
                  <c:v>776.30041027069103</c:v>
                </c:pt>
                <c:pt idx="10">
                  <c:v>1191.45393300057</c:v>
                </c:pt>
                <c:pt idx="11">
                  <c:v>1055.8888225555399</c:v>
                </c:pt>
                <c:pt idx="12">
                  <c:v>692.21895360946701</c:v>
                </c:pt>
                <c:pt idx="13">
                  <c:v>984.05585837364197</c:v>
                </c:pt>
                <c:pt idx="14">
                  <c:v>810.96218037605297</c:v>
                </c:pt>
                <c:pt idx="15">
                  <c:v>893.33652520179703</c:v>
                </c:pt>
                <c:pt idx="16">
                  <c:v>901.62860655784596</c:v>
                </c:pt>
                <c:pt idx="17">
                  <c:v>632.32637572288502</c:v>
                </c:pt>
                <c:pt idx="18">
                  <c:v>1201.95519447327</c:v>
                </c:pt>
                <c:pt idx="19">
                  <c:v>630.31495094299305</c:v>
                </c:pt>
                <c:pt idx="20">
                  <c:v>633.81702423095703</c:v>
                </c:pt>
                <c:pt idx="21">
                  <c:v>1054.4978494644199</c:v>
                </c:pt>
                <c:pt idx="22">
                  <c:v>1025.2442567348501</c:v>
                </c:pt>
                <c:pt idx="23">
                  <c:v>641.58524274826004</c:v>
                </c:pt>
                <c:pt idx="24">
                  <c:v>869.88625502586399</c:v>
                </c:pt>
                <c:pt idx="25">
                  <c:v>623.351462364197</c:v>
                </c:pt>
                <c:pt idx="26">
                  <c:v>628.43553352356003</c:v>
                </c:pt>
                <c:pt idx="27">
                  <c:v>910.15849280357395</c:v>
                </c:pt>
                <c:pt idx="28">
                  <c:v>787.17328715324402</c:v>
                </c:pt>
                <c:pt idx="29">
                  <c:v>625.46701645851101</c:v>
                </c:pt>
                <c:pt idx="30">
                  <c:v>625.54011487960804</c:v>
                </c:pt>
                <c:pt idx="31">
                  <c:v>934.18996953964199</c:v>
                </c:pt>
                <c:pt idx="32">
                  <c:v>7.5050284862518302</c:v>
                </c:pt>
                <c:pt idx="33">
                  <c:v>696.60969996452297</c:v>
                </c:pt>
                <c:pt idx="34">
                  <c:v>696.39616656303394</c:v>
                </c:pt>
                <c:pt idx="35">
                  <c:v>697.52647233009304</c:v>
                </c:pt>
                <c:pt idx="36">
                  <c:v>698.39600276946999</c:v>
                </c:pt>
                <c:pt idx="37">
                  <c:v>632.522899627686</c:v>
                </c:pt>
                <c:pt idx="38">
                  <c:v>633.41760087013199</c:v>
                </c:pt>
                <c:pt idx="39">
                  <c:v>651.28091907501198</c:v>
                </c:pt>
                <c:pt idx="40">
                  <c:v>661.32926917076099</c:v>
                </c:pt>
                <c:pt idx="41">
                  <c:v>815.45593047141995</c:v>
                </c:pt>
                <c:pt idx="42">
                  <c:v>621.00278925895702</c:v>
                </c:pt>
                <c:pt idx="43">
                  <c:v>814.09269857406605</c:v>
                </c:pt>
                <c:pt idx="44">
                  <c:v>818.20952296256996</c:v>
                </c:pt>
                <c:pt idx="45">
                  <c:v>806.786789894104</c:v>
                </c:pt>
                <c:pt idx="46">
                  <c:v>622.39597272872902</c:v>
                </c:pt>
                <c:pt idx="47">
                  <c:v>620.20202326774597</c:v>
                </c:pt>
                <c:pt idx="48">
                  <c:v>618.36519503593399</c:v>
                </c:pt>
                <c:pt idx="49">
                  <c:v>812.31194353103604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5-463D-AF7E-B7A11ECCC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5685405"/>
        <c:axId val="900161888"/>
      </c:lineChart>
      <c:catAx>
        <c:axId val="1075685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900161888"/>
        <c:crosses val="autoZero"/>
        <c:auto val="1"/>
        <c:lblAlgn val="ctr"/>
        <c:lblOffset val="100"/>
        <c:noMultiLvlLbl val="1"/>
      </c:catAx>
      <c:valAx>
        <c:axId val="900161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0756854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O" sz="1400" b="0" i="0">
                <a:solidFill>
                  <a:srgbClr val="757575"/>
                </a:solidFill>
                <a:latin typeface="+mn-lt"/>
              </a:rPr>
              <a:t>perdida Qnodes vs geoemtry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Geometry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'20elementos'!$A$4:$A$53</c:f>
              <c:strCache>
                <c:ptCount val="50"/>
                <c:pt idx="0">
                  <c:v>ABCDEFGHIJKLMNOPQRST_{t+1}|ABCDEFGHIJKLMNOPQRST_{t}</c:v>
                </c:pt>
                <c:pt idx="1">
                  <c:v>ABCDEFGHIJKLMNOPQRST_{t+1}|ABCDEFGHIJKLMNOPQRS_{t}</c:v>
                </c:pt>
                <c:pt idx="2">
                  <c:v>ABCDEFGHIJKLMNOPQRST_{t+1}|BCDEFGHIJKLMNOPQRST_{t}</c:v>
                </c:pt>
                <c:pt idx="3">
                  <c:v>ABCDEFGHIJKLMNOPQRS_{t+1}|ABCDEFGHIJKLMNOPQRST_{t}</c:v>
                </c:pt>
                <c:pt idx="4">
                  <c:v>BCDEFGHIJKLMNOPQRST_{t+1}|ABCDEFGHIJKLMNOPQRST_{t}</c:v>
                </c:pt>
                <c:pt idx="5">
                  <c:v>ABCDEFGHIJKLMNOPQRST_{t+1}|BCDEFGHIJKLMNOPQRS_{t}</c:v>
                </c:pt>
                <c:pt idx="6">
                  <c:v>ABCDEFGHIJKLMNOPQRS_{t+1}|ABCDEFGHIJKLMNOPQRS_{t}</c:v>
                </c:pt>
                <c:pt idx="7">
                  <c:v>ABCDEFGHIJKLMNOPQRS_{t+1}|BCDEFGHIJKLMNOPQRST_{t}</c:v>
                </c:pt>
                <c:pt idx="8">
                  <c:v>BCDEFGHIJKLMNOPQRST_{t+1}|ABCDEFGHIJKLMNOPQRS_{t}</c:v>
                </c:pt>
                <c:pt idx="9">
                  <c:v>BCDEFGHIJKLMNOPQRST_{t+1}|BCDEFGHIJKLMNOPQRST_{t}</c:v>
                </c:pt>
                <c:pt idx="10">
                  <c:v>BCDEFGHIJKLMNOPQRS_{t+1}|ABCDEFGHIJKLMNOPQRST_{t}</c:v>
                </c:pt>
                <c:pt idx="11">
                  <c:v>ACDEFGHIJKLMNOPQRST_{t+1}|ACDEFGHIJKLMNOPQRST_{t}</c:v>
                </c:pt>
                <c:pt idx="12">
                  <c:v>ABCDEFGHIJKLMNOPQRS_{t+1}|BCDEFGHIJKLMNOPQRS_{t}</c:v>
                </c:pt>
                <c:pt idx="13">
                  <c:v>BCDEFGHIJKLMNOPQRST_{t+1}|BCDEFGHIJKLMNOPQRS_{t}</c:v>
                </c:pt>
                <c:pt idx="14">
                  <c:v>BCDEFGHIJKLMNOPQRS_{t+1}|ABCDEFGHIJKLMNOPQRS_{t}</c:v>
                </c:pt>
                <c:pt idx="15">
                  <c:v>BCDEFGHIJKLMNOPQRS_{t+1}|BCDEFGHIJKLMNOPQRST_{t}</c:v>
                </c:pt>
                <c:pt idx="16">
                  <c:v>BCDEFGHIJKLMNOPQRS_{t+1}|BCDEFGHIJKLMNOPQRS_{t}</c:v>
                </c:pt>
                <c:pt idx="17">
                  <c:v>ABCDEFGHIJKLMNOPQRST_{t+1}|ABDEGHJKMNPQST_{t}</c:v>
                </c:pt>
                <c:pt idx="18">
                  <c:v>ABDEGHJKMNPQST_{t+1}|ABCDEFGHIJKLMNOPQRST_{t}</c:v>
                </c:pt>
                <c:pt idx="19">
                  <c:v>ABCDEFGHIJKLMNOPQRS_{t+1}|ABDEGHJKMNPQST_{t}</c:v>
                </c:pt>
                <c:pt idx="20">
                  <c:v>BCDEFGHIJKLMNOPQRST_{t+1}|ABDEGHJKMNPQST_{t}</c:v>
                </c:pt>
                <c:pt idx="21">
                  <c:v>ABDEGHJKMNPQST_{t+1}|ABCDEFGHIJKLMNOPQRS_{t}</c:v>
                </c:pt>
                <c:pt idx="22">
                  <c:v>ABDEGHJKMNPQST_{t+1}|BCDEFGHIJKLMNOPQRST_{t}</c:v>
                </c:pt>
                <c:pt idx="23">
                  <c:v>BCDEFGHIJKLMNOPQRS_{t+1}|ABDEGHJKMNPQST_{t}</c:v>
                </c:pt>
                <c:pt idx="24">
                  <c:v>ABDEGHJKMNPQST_{t+1}|BCDEFGHIJKLMNOPQRS_{t}</c:v>
                </c:pt>
                <c:pt idx="25">
                  <c:v>ABCDEFGHIJKLMNOPQRST_{t+1}|ACEGIKMOQS_{t}</c:v>
                </c:pt>
                <c:pt idx="26">
                  <c:v>ABCDEFGHIJKLMNOPQRST_{t+1}|BDFHJLNPRT_{t}</c:v>
                </c:pt>
                <c:pt idx="27">
                  <c:v>ACEGIKMOQS_{t+1}|ABCDEFGHIJKLMNOPQRST_{t}</c:v>
                </c:pt>
                <c:pt idx="28">
                  <c:v>BDFHJLNPRT_{t+1}|ABCDEFGHIJKLMNOPQRST_{t}</c:v>
                </c:pt>
                <c:pt idx="29">
                  <c:v>ABCDEFGHIJKLMNOPQRS_{t+1}|ACEGIKMOQS_{t}</c:v>
                </c:pt>
                <c:pt idx="30">
                  <c:v>ABCDEFGHIJKLMNOPQRS_{t+1}|BDFHJLNPRT_{t}</c:v>
                </c:pt>
                <c:pt idx="31">
                  <c:v>BCDEFGHIJKLMNOPQRST_{t+1}|ACEGIKMOQS_{t}</c:v>
                </c:pt>
                <c:pt idx="32">
                  <c:v>BCDEFGHIJKLMNOPQRST_{t+1}|BDFHJLNPRT_{t}</c:v>
                </c:pt>
                <c:pt idx="33">
                  <c:v>ACEGIKMOQS_{t+1}|ABCDEFGHIJKLMNOPQRS_{t}</c:v>
                </c:pt>
                <c:pt idx="34">
                  <c:v>ACEGIKMOQS_{t+1}|BCDEFGHIJKLMNOPQRST_{t}</c:v>
                </c:pt>
                <c:pt idx="35">
                  <c:v>BDFHJLNPRT_{t+1}|ABCDEFGHIJKLMNOPQRS_{t}</c:v>
                </c:pt>
                <c:pt idx="36">
                  <c:v>BDFHJLNPRT_{t+1}|BCDEFGHIJKLMNOPQRST_{t}</c:v>
                </c:pt>
                <c:pt idx="37">
                  <c:v>BCDEFGHIJKLMNOPQRS_{t+1}|ACEGIKMOQS_{t}</c:v>
                </c:pt>
                <c:pt idx="38">
                  <c:v>BCDEFGHIJKLMNOPQRS_{t+1}|BDFHJLNPRT_{t}</c:v>
                </c:pt>
                <c:pt idx="39">
                  <c:v>ACEGIKMOQS_{t+1}|BCDEFGHIJKLMNOPQRS_{t}</c:v>
                </c:pt>
                <c:pt idx="40">
                  <c:v>BDFHJLNPRT_{t+1}|BCDEFGHIJKLMNOPQRS_{t}</c:v>
                </c:pt>
                <c:pt idx="41">
                  <c:v>ABDEGHJKMNPQST_{t+1}|ABDEGHJKMNPQST_{t}</c:v>
                </c:pt>
                <c:pt idx="42">
                  <c:v>ACEGIKMOQS_{t+1}|ABDEGHJKMNPQST_{t}</c:v>
                </c:pt>
                <c:pt idx="43">
                  <c:v>BDFHJLNPRT_{t+1}|ABDEGHJKMNPQST_{t}</c:v>
                </c:pt>
                <c:pt idx="44">
                  <c:v>ABDEGHJKMNPQST_{t+1}|ACEGIKMOQS_{t}</c:v>
                </c:pt>
                <c:pt idx="45">
                  <c:v>ABDEGHJKMNPQST_{t+1}|BDFHJLNPRT_{t}</c:v>
                </c:pt>
                <c:pt idx="46">
                  <c:v>ACEGIKMOQS_{t+1}|ACEGIKMOQS_{t}</c:v>
                </c:pt>
                <c:pt idx="47">
                  <c:v>ACEGIKMOQS_{t+1}|BDFHJLNPRT_{t}</c:v>
                </c:pt>
                <c:pt idx="48">
                  <c:v>BDFHJLNPRT_{t+1}|ACEGIKMOQS_{t}</c:v>
                </c:pt>
                <c:pt idx="49">
                  <c:v>BDFHJLNPRT_{t+1}|BDFHJLNPRT_{t}</c:v>
                </c:pt>
              </c:strCache>
            </c:strRef>
          </c:cat>
          <c:val>
            <c:numRef>
              <c:f>'20elementos'!$I$4:$I$53</c:f>
              <c:numCache>
                <c:formatCode>General</c:formatCode>
                <c:ptCount val="50"/>
                <c:pt idx="0">
                  <c:v>7.2748363018035889E-3</c:v>
                </c:pt>
                <c:pt idx="1">
                  <c:v>2.8677880764007568E-3</c:v>
                </c:pt>
                <c:pt idx="2">
                  <c:v>4.4668018817901611E-2</c:v>
                </c:pt>
                <c:pt idx="3">
                  <c:v>7.2748363018035889E-3</c:v>
                </c:pt>
                <c:pt idx="4">
                  <c:v>7.2748363018035889E-3</c:v>
                </c:pt>
                <c:pt idx="5">
                  <c:v>1.491290330886841E-2</c:v>
                </c:pt>
                <c:pt idx="6">
                  <c:v>2.8677880764007568E-3</c:v>
                </c:pt>
                <c:pt idx="7">
                  <c:v>4.4668018817901611E-2</c:v>
                </c:pt>
                <c:pt idx="8">
                  <c:v>2.8677880764007568E-3</c:v>
                </c:pt>
                <c:pt idx="9">
                  <c:v>4.4668018817901611E-2</c:v>
                </c:pt>
                <c:pt idx="10">
                  <c:v>7.2748363018035889E-3</c:v>
                </c:pt>
                <c:pt idx="11">
                  <c:v>1.5489757061004641E-3</c:v>
                </c:pt>
                <c:pt idx="12">
                  <c:v>1.491290330886841E-2</c:v>
                </c:pt>
                <c:pt idx="13">
                  <c:v>1.491290330886841E-2</c:v>
                </c:pt>
                <c:pt idx="14">
                  <c:v>2.8677880764007568E-3</c:v>
                </c:pt>
                <c:pt idx="15">
                  <c:v>4.4668018817901611E-2</c:v>
                </c:pt>
                <c:pt idx="16">
                  <c:v>1.491290330886841E-2</c:v>
                </c:pt>
                <c:pt idx="17">
                  <c:v>2.870857715606689E-3</c:v>
                </c:pt>
                <c:pt idx="18">
                  <c:v>7.2748363018035889E-3</c:v>
                </c:pt>
                <c:pt idx="19">
                  <c:v>2.870857715606689E-3</c:v>
                </c:pt>
                <c:pt idx="20">
                  <c:v>2.870857715606689E-3</c:v>
                </c:pt>
                <c:pt idx="21">
                  <c:v>2.8677880764007568E-3</c:v>
                </c:pt>
                <c:pt idx="22">
                  <c:v>7.126152515411377E-2</c:v>
                </c:pt>
                <c:pt idx="23">
                  <c:v>2.870857715606689E-3</c:v>
                </c:pt>
                <c:pt idx="24">
                  <c:v>4.6014785766601563E-2</c:v>
                </c:pt>
                <c:pt idx="25">
                  <c:v>1.3498067855834961E-3</c:v>
                </c:pt>
                <c:pt idx="26">
                  <c:v>2.8255581855773931E-4</c:v>
                </c:pt>
                <c:pt idx="27">
                  <c:v>7.2748363018035889E-3</c:v>
                </c:pt>
                <c:pt idx="28">
                  <c:v>2.325141429901123E-2</c:v>
                </c:pt>
                <c:pt idx="29">
                  <c:v>1.3498067855834961E-3</c:v>
                </c:pt>
                <c:pt idx="30">
                  <c:v>2.8255581855773931E-4</c:v>
                </c:pt>
                <c:pt idx="31">
                  <c:v>1.3498067855834961E-3</c:v>
                </c:pt>
                <c:pt idx="32">
                  <c:v>2.8255581855773931E-4</c:v>
                </c:pt>
                <c:pt idx="33">
                  <c:v>2.8677880764007568E-3</c:v>
                </c:pt>
                <c:pt idx="34">
                  <c:v>0.1019079089164734</c:v>
                </c:pt>
                <c:pt idx="35">
                  <c:v>6.9466561079025269E-2</c:v>
                </c:pt>
                <c:pt idx="36">
                  <c:v>4.4668018817901611E-2</c:v>
                </c:pt>
                <c:pt idx="37">
                  <c:v>1.3498067855834961E-3</c:v>
                </c:pt>
                <c:pt idx="38">
                  <c:v>2.8255581855773931E-4</c:v>
                </c:pt>
                <c:pt idx="39">
                  <c:v>3.3406466245651252E-2</c:v>
                </c:pt>
                <c:pt idx="40">
                  <c:v>1.491290330886841E-2</c:v>
                </c:pt>
                <c:pt idx="41">
                  <c:v>2.870857715606689E-3</c:v>
                </c:pt>
                <c:pt idx="42">
                  <c:v>5.5141746997833252E-3</c:v>
                </c:pt>
                <c:pt idx="43">
                  <c:v>2.870857715606689E-3</c:v>
                </c:pt>
                <c:pt idx="44">
                  <c:v>1.3498067855834961E-3</c:v>
                </c:pt>
                <c:pt idx="45">
                  <c:v>5.4436922073364258E-4</c:v>
                </c:pt>
                <c:pt idx="46">
                  <c:v>2.21213698387146E-3</c:v>
                </c:pt>
                <c:pt idx="47">
                  <c:v>2.8255581855773931E-4</c:v>
                </c:pt>
                <c:pt idx="48">
                  <c:v>1.3498067855834961E-3</c:v>
                </c:pt>
                <c:pt idx="49">
                  <c:v>5.4436922073364258E-4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9D6-42FB-AA93-3DCAAEE2B60A}"/>
            </c:ext>
          </c:extLst>
        </c:ser>
        <c:ser>
          <c:idx val="1"/>
          <c:order val="1"/>
          <c:tx>
            <c:v>Qnode actual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'20elementos'!$A$4:$A$53</c:f>
              <c:strCache>
                <c:ptCount val="50"/>
                <c:pt idx="0">
                  <c:v>ABCDEFGHIJKLMNOPQRST_{t+1}|ABCDEFGHIJKLMNOPQRST_{t}</c:v>
                </c:pt>
                <c:pt idx="1">
                  <c:v>ABCDEFGHIJKLMNOPQRST_{t+1}|ABCDEFGHIJKLMNOPQRS_{t}</c:v>
                </c:pt>
                <c:pt idx="2">
                  <c:v>ABCDEFGHIJKLMNOPQRST_{t+1}|BCDEFGHIJKLMNOPQRST_{t}</c:v>
                </c:pt>
                <c:pt idx="3">
                  <c:v>ABCDEFGHIJKLMNOPQRS_{t+1}|ABCDEFGHIJKLMNOPQRST_{t}</c:v>
                </c:pt>
                <c:pt idx="4">
                  <c:v>BCDEFGHIJKLMNOPQRST_{t+1}|ABCDEFGHIJKLMNOPQRST_{t}</c:v>
                </c:pt>
                <c:pt idx="5">
                  <c:v>ABCDEFGHIJKLMNOPQRST_{t+1}|BCDEFGHIJKLMNOPQRS_{t}</c:v>
                </c:pt>
                <c:pt idx="6">
                  <c:v>ABCDEFGHIJKLMNOPQRS_{t+1}|ABCDEFGHIJKLMNOPQRS_{t}</c:v>
                </c:pt>
                <c:pt idx="7">
                  <c:v>ABCDEFGHIJKLMNOPQRS_{t+1}|BCDEFGHIJKLMNOPQRST_{t}</c:v>
                </c:pt>
                <c:pt idx="8">
                  <c:v>BCDEFGHIJKLMNOPQRST_{t+1}|ABCDEFGHIJKLMNOPQRS_{t}</c:v>
                </c:pt>
                <c:pt idx="9">
                  <c:v>BCDEFGHIJKLMNOPQRST_{t+1}|BCDEFGHIJKLMNOPQRST_{t}</c:v>
                </c:pt>
                <c:pt idx="10">
                  <c:v>BCDEFGHIJKLMNOPQRS_{t+1}|ABCDEFGHIJKLMNOPQRST_{t}</c:v>
                </c:pt>
                <c:pt idx="11">
                  <c:v>ACDEFGHIJKLMNOPQRST_{t+1}|ACDEFGHIJKLMNOPQRST_{t}</c:v>
                </c:pt>
                <c:pt idx="12">
                  <c:v>ABCDEFGHIJKLMNOPQRS_{t+1}|BCDEFGHIJKLMNOPQRS_{t}</c:v>
                </c:pt>
                <c:pt idx="13">
                  <c:v>BCDEFGHIJKLMNOPQRST_{t+1}|BCDEFGHIJKLMNOPQRS_{t}</c:v>
                </c:pt>
                <c:pt idx="14">
                  <c:v>BCDEFGHIJKLMNOPQRS_{t+1}|ABCDEFGHIJKLMNOPQRS_{t}</c:v>
                </c:pt>
                <c:pt idx="15">
                  <c:v>BCDEFGHIJKLMNOPQRS_{t+1}|BCDEFGHIJKLMNOPQRST_{t}</c:v>
                </c:pt>
                <c:pt idx="16">
                  <c:v>BCDEFGHIJKLMNOPQRS_{t+1}|BCDEFGHIJKLMNOPQRS_{t}</c:v>
                </c:pt>
                <c:pt idx="17">
                  <c:v>ABCDEFGHIJKLMNOPQRST_{t+1}|ABDEGHJKMNPQST_{t}</c:v>
                </c:pt>
                <c:pt idx="18">
                  <c:v>ABDEGHJKMNPQST_{t+1}|ABCDEFGHIJKLMNOPQRST_{t}</c:v>
                </c:pt>
                <c:pt idx="19">
                  <c:v>ABCDEFGHIJKLMNOPQRS_{t+1}|ABDEGHJKMNPQST_{t}</c:v>
                </c:pt>
                <c:pt idx="20">
                  <c:v>BCDEFGHIJKLMNOPQRST_{t+1}|ABDEGHJKMNPQST_{t}</c:v>
                </c:pt>
                <c:pt idx="21">
                  <c:v>ABDEGHJKMNPQST_{t+1}|ABCDEFGHIJKLMNOPQRS_{t}</c:v>
                </c:pt>
                <c:pt idx="22">
                  <c:v>ABDEGHJKMNPQST_{t+1}|BCDEFGHIJKLMNOPQRST_{t}</c:v>
                </c:pt>
                <c:pt idx="23">
                  <c:v>BCDEFGHIJKLMNOPQRS_{t+1}|ABDEGHJKMNPQST_{t}</c:v>
                </c:pt>
                <c:pt idx="24">
                  <c:v>ABDEGHJKMNPQST_{t+1}|BCDEFGHIJKLMNOPQRS_{t}</c:v>
                </c:pt>
                <c:pt idx="25">
                  <c:v>ABCDEFGHIJKLMNOPQRST_{t+1}|ACEGIKMOQS_{t}</c:v>
                </c:pt>
                <c:pt idx="26">
                  <c:v>ABCDEFGHIJKLMNOPQRST_{t+1}|BDFHJLNPRT_{t}</c:v>
                </c:pt>
                <c:pt idx="27">
                  <c:v>ACEGIKMOQS_{t+1}|ABCDEFGHIJKLMNOPQRST_{t}</c:v>
                </c:pt>
                <c:pt idx="28">
                  <c:v>BDFHJLNPRT_{t+1}|ABCDEFGHIJKLMNOPQRST_{t}</c:v>
                </c:pt>
                <c:pt idx="29">
                  <c:v>ABCDEFGHIJKLMNOPQRS_{t+1}|ACEGIKMOQS_{t}</c:v>
                </c:pt>
                <c:pt idx="30">
                  <c:v>ABCDEFGHIJKLMNOPQRS_{t+1}|BDFHJLNPRT_{t}</c:v>
                </c:pt>
                <c:pt idx="31">
                  <c:v>BCDEFGHIJKLMNOPQRST_{t+1}|ACEGIKMOQS_{t}</c:v>
                </c:pt>
                <c:pt idx="32">
                  <c:v>BCDEFGHIJKLMNOPQRST_{t+1}|BDFHJLNPRT_{t}</c:v>
                </c:pt>
                <c:pt idx="33">
                  <c:v>ACEGIKMOQS_{t+1}|ABCDEFGHIJKLMNOPQRS_{t}</c:v>
                </c:pt>
                <c:pt idx="34">
                  <c:v>ACEGIKMOQS_{t+1}|BCDEFGHIJKLMNOPQRST_{t}</c:v>
                </c:pt>
                <c:pt idx="35">
                  <c:v>BDFHJLNPRT_{t+1}|ABCDEFGHIJKLMNOPQRS_{t}</c:v>
                </c:pt>
                <c:pt idx="36">
                  <c:v>BDFHJLNPRT_{t+1}|BCDEFGHIJKLMNOPQRST_{t}</c:v>
                </c:pt>
                <c:pt idx="37">
                  <c:v>BCDEFGHIJKLMNOPQRS_{t+1}|ACEGIKMOQS_{t}</c:v>
                </c:pt>
                <c:pt idx="38">
                  <c:v>BCDEFGHIJKLMNOPQRS_{t+1}|BDFHJLNPRT_{t}</c:v>
                </c:pt>
                <c:pt idx="39">
                  <c:v>ACEGIKMOQS_{t+1}|BCDEFGHIJKLMNOPQRS_{t}</c:v>
                </c:pt>
                <c:pt idx="40">
                  <c:v>BDFHJLNPRT_{t+1}|BCDEFGHIJKLMNOPQRS_{t}</c:v>
                </c:pt>
                <c:pt idx="41">
                  <c:v>ABDEGHJKMNPQST_{t+1}|ABDEGHJKMNPQST_{t}</c:v>
                </c:pt>
                <c:pt idx="42">
                  <c:v>ACEGIKMOQS_{t+1}|ABDEGHJKMNPQST_{t}</c:v>
                </c:pt>
                <c:pt idx="43">
                  <c:v>BDFHJLNPRT_{t+1}|ABDEGHJKMNPQST_{t}</c:v>
                </c:pt>
                <c:pt idx="44">
                  <c:v>ABDEGHJKMNPQST_{t+1}|ACEGIKMOQS_{t}</c:v>
                </c:pt>
                <c:pt idx="45">
                  <c:v>ABDEGHJKMNPQST_{t+1}|BDFHJLNPRT_{t}</c:v>
                </c:pt>
                <c:pt idx="46">
                  <c:v>ACEGIKMOQS_{t+1}|ACEGIKMOQS_{t}</c:v>
                </c:pt>
                <c:pt idx="47">
                  <c:v>ACEGIKMOQS_{t+1}|BDFHJLNPRT_{t}</c:v>
                </c:pt>
                <c:pt idx="48">
                  <c:v>BDFHJLNPRT_{t+1}|ACEGIKMOQS_{t}</c:v>
                </c:pt>
                <c:pt idx="49">
                  <c:v>BDFHJLNPRT_{t+1}|BDFHJLNPRT_{t}</c:v>
                </c:pt>
              </c:strCache>
            </c:strRef>
          </c:cat>
          <c:val>
            <c:numRef>
              <c:f>'20elementos'!$F$4:$F$53</c:f>
              <c:numCache>
                <c:formatCode>General</c:formatCode>
                <c:ptCount val="50"/>
                <c:pt idx="0">
                  <c:v>2.3251414299011199E-2</c:v>
                </c:pt>
                <c:pt idx="1">
                  <c:v>3.8037896156311E-3</c:v>
                </c:pt>
                <c:pt idx="2">
                  <c:v>4.4668018817901597E-2</c:v>
                </c:pt>
                <c:pt idx="3">
                  <c:v>7.2748363018035897E-3</c:v>
                </c:pt>
                <c:pt idx="4">
                  <c:v>2.3251414299011199E-2</c:v>
                </c:pt>
                <c:pt idx="5">
                  <c:v>1.49129033088684E-2</c:v>
                </c:pt>
                <c:pt idx="6">
                  <c:v>2.8677880764007599E-3</c:v>
                </c:pt>
                <c:pt idx="7">
                  <c:v>4.4668018817901597E-2</c:v>
                </c:pt>
                <c:pt idx="8">
                  <c:v>2.8677880764007599E-3</c:v>
                </c:pt>
                <c:pt idx="9">
                  <c:v>4.4668018817901597E-2</c:v>
                </c:pt>
                <c:pt idx="10">
                  <c:v>3.2423526048660299E-2</c:v>
                </c:pt>
                <c:pt idx="11">
                  <c:v>1.54897570610046E-3</c:v>
                </c:pt>
                <c:pt idx="12">
                  <c:v>1.49129033088684E-2</c:v>
                </c:pt>
                <c:pt idx="13">
                  <c:v>3.3406466245651301E-2</c:v>
                </c:pt>
                <c:pt idx="14">
                  <c:v>3.8037896156311E-3</c:v>
                </c:pt>
                <c:pt idx="15">
                  <c:v>4.4668018817901597E-2</c:v>
                </c:pt>
                <c:pt idx="16">
                  <c:v>1.49129033088684E-2</c:v>
                </c:pt>
                <c:pt idx="17">
                  <c:v>2.8708577156066899E-3</c:v>
                </c:pt>
                <c:pt idx="18">
                  <c:v>2.3251414299011199E-2</c:v>
                </c:pt>
                <c:pt idx="19">
                  <c:v>2.8708577156066899E-3</c:v>
                </c:pt>
                <c:pt idx="20">
                  <c:v>2.8708577156066899E-3</c:v>
                </c:pt>
                <c:pt idx="21">
                  <c:v>3.8037896156311E-3</c:v>
                </c:pt>
                <c:pt idx="22">
                  <c:v>7.1261525154113797E-2</c:v>
                </c:pt>
                <c:pt idx="23">
                  <c:v>2.8708577156066899E-3</c:v>
                </c:pt>
                <c:pt idx="24">
                  <c:v>4.6014785766601597E-2</c:v>
                </c:pt>
                <c:pt idx="25">
                  <c:v>1.3498067855835E-3</c:v>
                </c:pt>
                <c:pt idx="26">
                  <c:v>2.8255581855773899E-4</c:v>
                </c:pt>
                <c:pt idx="27">
                  <c:v>7.2748363018035897E-3</c:v>
                </c:pt>
                <c:pt idx="28">
                  <c:v>2.3251414299011199E-2</c:v>
                </c:pt>
                <c:pt idx="29">
                  <c:v>2.21213698387146E-3</c:v>
                </c:pt>
                <c:pt idx="30">
                  <c:v>2.8255581855773899E-4</c:v>
                </c:pt>
                <c:pt idx="31">
                  <c:v>1.5623271465301501E-3</c:v>
                </c:pt>
                <c:pt idx="32">
                  <c:v>5.4436922073364301E-4</c:v>
                </c:pt>
                <c:pt idx="33">
                  <c:v>2.8677880764007599E-3</c:v>
                </c:pt>
                <c:pt idx="34">
                  <c:v>0.101907908916473</c:v>
                </c:pt>
                <c:pt idx="35">
                  <c:v>6.9466561079025296E-2</c:v>
                </c:pt>
                <c:pt idx="36">
                  <c:v>4.4668018817901597E-2</c:v>
                </c:pt>
                <c:pt idx="37">
                  <c:v>2.21213698387146E-3</c:v>
                </c:pt>
                <c:pt idx="38">
                  <c:v>5.4436922073364301E-4</c:v>
                </c:pt>
                <c:pt idx="39">
                  <c:v>8.9073240756988498E-2</c:v>
                </c:pt>
                <c:pt idx="40">
                  <c:v>4.6014785766601597E-2</c:v>
                </c:pt>
                <c:pt idx="41">
                  <c:v>2.8708577156066899E-3</c:v>
                </c:pt>
                <c:pt idx="42">
                  <c:v>1.12238824367523E-2</c:v>
                </c:pt>
                <c:pt idx="43">
                  <c:v>8.9113712310790998E-3</c:v>
                </c:pt>
                <c:pt idx="44">
                  <c:v>1.3498067855835E-3</c:v>
                </c:pt>
                <c:pt idx="45">
                  <c:v>9.45806503295898E-4</c:v>
                </c:pt>
                <c:pt idx="46">
                  <c:v>3.6116242408752398E-3</c:v>
                </c:pt>
                <c:pt idx="47">
                  <c:v>2.8255581855773899E-4</c:v>
                </c:pt>
                <c:pt idx="48">
                  <c:v>1.3498067855835E-3</c:v>
                </c:pt>
                <c:pt idx="49">
                  <c:v>5.4436922073364301E-4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9D6-42FB-AA93-3DCAAEE2B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9695191"/>
        <c:axId val="1739371267"/>
      </c:barChart>
      <c:catAx>
        <c:axId val="1619695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739371267"/>
        <c:crosses val="autoZero"/>
        <c:auto val="1"/>
        <c:lblAlgn val="ctr"/>
        <c:lblOffset val="100"/>
        <c:noMultiLvlLbl val="1"/>
      </c:catAx>
      <c:valAx>
        <c:axId val="1739371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6196951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180975</xdr:colOff>
      <xdr:row>3</xdr:row>
      <xdr:rowOff>66675</xdr:rowOff>
    </xdr:from>
    <xdr:ext cx="6800850" cy="2628900"/>
    <xdr:graphicFrame macro="">
      <xdr:nvGraphicFramePr>
        <xdr:cNvPr id="823650108" name="Chart 1">
          <a:extLst>
            <a:ext uri="{FF2B5EF4-FFF2-40B4-BE49-F238E27FC236}">
              <a16:creationId xmlns:a16="http://schemas.microsoft.com/office/drawing/2014/main" id="{00000000-0008-0000-0000-00003CE71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628650</xdr:colOff>
      <xdr:row>18</xdr:row>
      <xdr:rowOff>85725</xdr:rowOff>
    </xdr:from>
    <xdr:ext cx="7591425" cy="3419475"/>
    <xdr:graphicFrame macro="">
      <xdr:nvGraphicFramePr>
        <xdr:cNvPr id="1838510671" name="Chart 2">
          <a:extLst>
            <a:ext uri="{FF2B5EF4-FFF2-40B4-BE49-F238E27FC236}">
              <a16:creationId xmlns:a16="http://schemas.microsoft.com/office/drawing/2014/main" id="{00000000-0008-0000-0000-00004F72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152400</xdr:colOff>
      <xdr:row>0</xdr:row>
      <xdr:rowOff>0</xdr:rowOff>
    </xdr:from>
    <xdr:ext cx="5629275" cy="2162175"/>
    <xdr:graphicFrame macro="">
      <xdr:nvGraphicFramePr>
        <xdr:cNvPr id="1266747507" name="Chart 3">
          <a:extLst>
            <a:ext uri="{FF2B5EF4-FFF2-40B4-BE49-F238E27FC236}">
              <a16:creationId xmlns:a16="http://schemas.microsoft.com/office/drawing/2014/main" id="{00000000-0008-0000-0100-000073088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447675</xdr:colOff>
      <xdr:row>17</xdr:row>
      <xdr:rowOff>28575</xdr:rowOff>
    </xdr:from>
    <xdr:ext cx="5010150" cy="2171700"/>
    <xdr:graphicFrame macro="">
      <xdr:nvGraphicFramePr>
        <xdr:cNvPr id="82458591" name="Chart 4">
          <a:extLst>
            <a:ext uri="{FF2B5EF4-FFF2-40B4-BE49-F238E27FC236}">
              <a16:creationId xmlns:a16="http://schemas.microsoft.com/office/drawing/2014/main" id="{00000000-0008-0000-0100-0000DF37E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276225</xdr:colOff>
      <xdr:row>1</xdr:row>
      <xdr:rowOff>19050</xdr:rowOff>
    </xdr:from>
    <xdr:ext cx="6076950" cy="2295525"/>
    <xdr:graphicFrame macro="">
      <xdr:nvGraphicFramePr>
        <xdr:cNvPr id="338904834" name="Chart 5">
          <a:extLst>
            <a:ext uri="{FF2B5EF4-FFF2-40B4-BE49-F238E27FC236}">
              <a16:creationId xmlns:a16="http://schemas.microsoft.com/office/drawing/2014/main" id="{00000000-0008-0000-0200-000002473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152400</xdr:colOff>
      <xdr:row>15</xdr:row>
      <xdr:rowOff>85725</xdr:rowOff>
    </xdr:from>
    <xdr:ext cx="6048375" cy="2400300"/>
    <xdr:graphicFrame macro="">
      <xdr:nvGraphicFramePr>
        <xdr:cNvPr id="1221732786" name="Chart 6">
          <a:extLst>
            <a:ext uri="{FF2B5EF4-FFF2-40B4-BE49-F238E27FC236}">
              <a16:creationId xmlns:a16="http://schemas.microsoft.com/office/drawing/2014/main" id="{00000000-0008-0000-0200-0000B229D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447675</xdr:colOff>
      <xdr:row>2</xdr:row>
      <xdr:rowOff>28575</xdr:rowOff>
    </xdr:from>
    <xdr:ext cx="7848600" cy="2324100"/>
    <xdr:graphicFrame macro="">
      <xdr:nvGraphicFramePr>
        <xdr:cNvPr id="1218195080" name="Chart 7">
          <a:extLst>
            <a:ext uri="{FF2B5EF4-FFF2-40B4-BE49-F238E27FC236}">
              <a16:creationId xmlns:a16="http://schemas.microsoft.com/office/drawing/2014/main" id="{00000000-0008-0000-0300-0000882E9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657225</xdr:colOff>
      <xdr:row>19</xdr:row>
      <xdr:rowOff>47625</xdr:rowOff>
    </xdr:from>
    <xdr:ext cx="7200900" cy="2609850"/>
    <xdr:graphicFrame macro="">
      <xdr:nvGraphicFramePr>
        <xdr:cNvPr id="1725345199" name="Chart 8">
          <a:extLst>
            <a:ext uri="{FF2B5EF4-FFF2-40B4-BE49-F238E27FC236}">
              <a16:creationId xmlns:a16="http://schemas.microsoft.com/office/drawing/2014/main" id="{00000000-0008-0000-0300-0000AFADD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D52">
  <tableColumns count="4">
    <tableColumn id="1" xr3:uid="{00000000-0010-0000-0000-000001000000}" name="Subsistema"/>
    <tableColumn id="2" xr3:uid="{00000000-0010-0000-0000-000002000000}" name="Particion"/>
    <tableColumn id="3" xr3:uid="{00000000-0010-0000-0000-000003000000}" name="Perdida"/>
    <tableColumn id="4" xr3:uid="{00000000-0010-0000-0000-000004000000}" name="Tiempo"/>
  </tableColumns>
  <tableStyleInfo name="10 elemen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:G53">
  <tableColumns count="3">
    <tableColumn id="1" xr3:uid="{00000000-0010-0000-0100-000001000000}" name="Particion5"/>
    <tableColumn id="2" xr3:uid="{00000000-0010-0000-0100-000002000000}" name="Perdida6"/>
    <tableColumn id="3" xr3:uid="{00000000-0010-0000-0100-000003000000}" name="Tiempo Total"/>
  </tableColumns>
  <tableStyleInfo name="10 elemento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2:J53" totalsRowCount="1">
  <tableColumns count="3">
    <tableColumn id="1" xr3:uid="{00000000-0010-0000-0200-000001000000}" name="error relativo" totalsRowDxfId="2"/>
    <tableColumn id="2" xr3:uid="{00000000-0010-0000-0200-000002000000}" name="tasa de acierto" totalsRowDxfId="1"/>
    <tableColumn id="3" xr3:uid="{00000000-0010-0000-0200-000003000000}" name="speedup " totalsRowDxfId="0"/>
  </tableColumns>
  <tableStyleInfo name="10 elemento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G52">
  <tableColumns count="7">
    <tableColumn id="1" xr3:uid="{00000000-0010-0000-0300-000001000000}" name="Subsistema"/>
    <tableColumn id="2" xr3:uid="{00000000-0010-0000-0300-000002000000}" name="Particion"/>
    <tableColumn id="3" xr3:uid="{00000000-0010-0000-0300-000003000000}" name="Perdida"/>
    <tableColumn id="4" xr3:uid="{00000000-0010-0000-0300-000004000000}" name="Tiempo"/>
    <tableColumn id="8" xr3:uid="{00000000-0010-0000-0300-000008000000}" name="Particion5"/>
    <tableColumn id="9" xr3:uid="{00000000-0010-0000-0300-000009000000}" name="Perdida6"/>
    <tableColumn id="10" xr3:uid="{00000000-0010-0000-0300-00000A000000}" name="Tiempo7"/>
  </tableColumns>
  <tableStyleInfo name="15A elemento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2:J52">
  <tableColumns count="3">
    <tableColumn id="1" xr3:uid="{00000000-0010-0000-0400-000001000000}" name="Particion5"/>
    <tableColumn id="2" xr3:uid="{00000000-0010-0000-0400-000002000000}" name="Perdida6"/>
    <tableColumn id="3" xr3:uid="{00000000-0010-0000-0400-000003000000}" name="Tiempo ejecución"/>
  </tableColumns>
  <tableStyleInfo name="15A elemento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K2:M53" totalsRowCount="1">
  <tableColumns count="3">
    <tableColumn id="1" xr3:uid="{00000000-0010-0000-0500-000001000000}" name="error relativo" totalsRowFunction="custom">
      <totalsRowFormula>SUM('15A elementos'!$K$3:$K$52)/50</totalsRowFormula>
    </tableColumn>
    <tableColumn id="2" xr3:uid="{00000000-0010-0000-0500-000002000000}" name="tasa de acierto" totalsRowFunction="custom">
      <totalsRowFormula>SUM('15A elementos'!$L$3:$L$52)/50</totalsRowFormula>
    </tableColumn>
    <tableColumn id="3" xr3:uid="{00000000-0010-0000-0500-000003000000}" name="speedup " totalsRowFunction="custom">
      <totalsRowFormula>SUM('15A elementos'!$M$3:$M$52)/50</totalsRowFormula>
    </tableColumn>
  </tableColumns>
  <tableStyleInfo name="15A elemento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2:G52">
  <tableColumns count="7">
    <tableColumn id="1" xr3:uid="{00000000-0010-0000-0600-000001000000}" name="Subsistema"/>
    <tableColumn id="2" xr3:uid="{00000000-0010-0000-0600-000002000000}" name="Particion"/>
    <tableColumn id="3" xr3:uid="{00000000-0010-0000-0600-000003000000}" name="Perdida"/>
    <tableColumn id="4" xr3:uid="{00000000-0010-0000-0600-000004000000}" name="Tiempo"/>
    <tableColumn id="8" xr3:uid="{00000000-0010-0000-0600-000008000000}" name="Particion5"/>
    <tableColumn id="9" xr3:uid="{00000000-0010-0000-0600-000009000000}" name="Perdida6"/>
    <tableColumn id="10" xr3:uid="{00000000-0010-0000-0600-00000A000000}" name="Tiempo7"/>
  </tableColumns>
  <tableStyleInfo name="15B elemento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H2:J52">
  <tableColumns count="3">
    <tableColumn id="1" xr3:uid="{00000000-0010-0000-0700-000001000000}" name="Particion5"/>
    <tableColumn id="2" xr3:uid="{00000000-0010-0000-0700-000002000000}" name="Perdida6"/>
    <tableColumn id="3" xr3:uid="{00000000-0010-0000-0700-000003000000}" name="Tiempo ejecución"/>
  </tableColumns>
  <tableStyleInfo name="15B elementos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K2:M53" totalsRowCount="1">
  <tableColumns count="3">
    <tableColumn id="1" xr3:uid="{00000000-0010-0000-0800-000001000000}" name="error relativo" totalsRowFunction="custom">
      <totalsRowFormula>SUM('15B elementos'!$K$3:$K$52)/50</totalsRowFormula>
    </tableColumn>
    <tableColumn id="2" xr3:uid="{00000000-0010-0000-0800-000002000000}" name="tasa de acierto2" totalsRowFunction="custom">
      <totalsRowFormula>SUM('15B elementos'!$L$3:$L$52)/50</totalsRowFormula>
    </tableColumn>
    <tableColumn id="3" xr3:uid="{00000000-0010-0000-0800-000003000000}" name="speedup " totalsRowFunction="custom">
      <totalsRowFormula>SUM('15B elementos'!$M$3:$M$52)/50</totalsRowFormula>
    </tableColumn>
  </tableColumns>
  <tableStyleInfo name="15B elementos-style 3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H71:K75">
  <tableColumns count="4">
    <tableColumn id="1" xr3:uid="{00000000-0010-0000-0900-000001000000}" name="Nº de Variables"/>
    <tableColumn id="2" xr3:uid="{00000000-0010-0000-0900-000002000000}" name="Casos probados"/>
    <tableColumn id="3" xr3:uid="{00000000-0010-0000-0900-000003000000}" name="Coincidencias"/>
    <tableColumn id="4" xr3:uid="{00000000-0010-0000-0900-000004000000}" name="Tasa de acierto (%)"/>
  </tableColumns>
  <tableStyleInfo name="15B elementos-style 4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3:G53">
  <tableColumns count="7">
    <tableColumn id="1" xr3:uid="{00000000-0010-0000-0A00-000001000000}" name="Subsistema"/>
    <tableColumn id="2" xr3:uid="{00000000-0010-0000-0A00-000002000000}" name="Particion"/>
    <tableColumn id="3" xr3:uid="{00000000-0010-0000-0A00-000003000000}" name="Perdida"/>
    <tableColumn id="4" xr3:uid="{00000000-0010-0000-0A00-000004000000}" name="Tiempo"/>
    <tableColumn id="8" xr3:uid="{00000000-0010-0000-0A00-000008000000}" name="Particion5"/>
    <tableColumn id="9" xr3:uid="{00000000-0010-0000-0A00-000009000000}" name="Perdida6"/>
    <tableColumn id="10" xr3:uid="{00000000-0010-0000-0A00-00000A000000}" name="Tiempo7"/>
  </tableColumns>
  <tableStyleInfo name="20elemento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H3:M54" totalsRowCount="1">
  <tableColumns count="6">
    <tableColumn id="1" xr3:uid="{00000000-0010-0000-0B00-000001000000}" name="Particion5"/>
    <tableColumn id="2" xr3:uid="{00000000-0010-0000-0B00-000002000000}" name="Perdida6"/>
    <tableColumn id="3" xr3:uid="{00000000-0010-0000-0B00-000003000000}" name="Tiempo ejecución"/>
    <tableColumn id="4" xr3:uid="{00000000-0010-0000-0B00-000004000000}" name="error relativo" totalsRowFunction="custom">
      <totalsRowFormula>SUM('20elementos'!$K$4:$K$53)/50</totalsRowFormula>
    </tableColumn>
    <tableColumn id="5" xr3:uid="{00000000-0010-0000-0B00-000005000000}" name="tasa de acierto" totalsRowFunction="custom">
      <totalsRowFormula>SUM('20elementos'!$L$4:$L$53)/50</totalsRowFormula>
    </tableColumn>
    <tableColumn id="6" xr3:uid="{00000000-0010-0000-0B00-000006000000}" name="speedup " totalsRowFunction="custom">
      <totalsRowFormula>SUM('20elementos'!$M$4:$M$53)/50</totalsRowFormula>
    </tableColumn>
  </tableColumns>
  <tableStyleInfo name="20element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G1" workbookViewId="0">
      <selection activeCell="K2" sqref="K2"/>
    </sheetView>
  </sheetViews>
  <sheetFormatPr baseColWidth="10" defaultColWidth="14.44140625" defaultRowHeight="15" customHeight="1"/>
  <cols>
    <col min="1" max="1" width="20.44140625" customWidth="1"/>
    <col min="2" max="2" width="17.88671875" customWidth="1"/>
    <col min="3" max="4" width="10.6640625" customWidth="1"/>
    <col min="5" max="5" width="15.6640625" customWidth="1"/>
    <col min="6" max="6" width="14.33203125" customWidth="1"/>
    <col min="7" max="8" width="20" customWidth="1"/>
    <col min="9" max="9" width="18.33203125" customWidth="1"/>
    <col min="10" max="10" width="22.109375" customWidth="1"/>
    <col min="11" max="23" width="10.6640625" customWidth="1"/>
  </cols>
  <sheetData>
    <row r="1" spans="1:11" ht="22.8" customHeight="1">
      <c r="A1" s="1"/>
      <c r="B1" s="45" t="s">
        <v>0</v>
      </c>
      <c r="C1" s="46"/>
      <c r="D1" s="47"/>
      <c r="E1" s="49" t="s">
        <v>624</v>
      </c>
      <c r="F1" s="50"/>
      <c r="G1" s="51"/>
      <c r="H1" s="52" t="s">
        <v>1</v>
      </c>
      <c r="I1" s="53"/>
      <c r="J1" s="2" t="s">
        <v>2</v>
      </c>
      <c r="K1" s="3" t="s">
        <v>625</v>
      </c>
    </row>
    <row r="2" spans="1:11" ht="14.25" customHeight="1">
      <c r="A2" s="4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7" t="s">
        <v>8</v>
      </c>
      <c r="G2" s="8" t="s">
        <v>10</v>
      </c>
      <c r="H2" s="9" t="s">
        <v>11</v>
      </c>
      <c r="I2" s="9" t="s">
        <v>12</v>
      </c>
      <c r="J2" s="9" t="s">
        <v>13</v>
      </c>
    </row>
    <row r="3" spans="1:11" ht="14.25" customHeight="1">
      <c r="A3" s="10" t="s">
        <v>14</v>
      </c>
      <c r="B3" s="11" t="s">
        <v>15</v>
      </c>
      <c r="C3" s="12">
        <v>0.47265600000000002</v>
      </c>
      <c r="D3" s="13">
        <v>109.19606208801299</v>
      </c>
      <c r="E3" s="11" t="s">
        <v>15</v>
      </c>
      <c r="F3" s="11">
        <v>0.47265625</v>
      </c>
      <c r="G3" s="11">
        <v>0.25284004211425781</v>
      </c>
      <c r="H3" s="15">
        <f>IF('10 elementos'!$C3=0, IF('10 elementos'!$F3=0, 0, "Indefinido"), ABS('10 elementos'!$C3-'10 elementos'!$F3)/'10 elementos'!$C3)</f>
        <v>5.2892589955365701E-7</v>
      </c>
      <c r="I3" s="16">
        <v>1</v>
      </c>
      <c r="J3" s="15">
        <f>'10 elementos'!$D3/'10 elementos'!$G3</f>
        <v>431.87804105279952</v>
      </c>
    </row>
    <row r="4" spans="1:11" ht="14.25" customHeight="1">
      <c r="A4" s="10" t="s">
        <v>16</v>
      </c>
      <c r="B4" s="11" t="s">
        <v>17</v>
      </c>
      <c r="C4" s="12">
        <v>4.8830000000000002E-3</v>
      </c>
      <c r="D4" s="13">
        <v>52.820365905761697</v>
      </c>
      <c r="E4" s="11" t="s">
        <v>18</v>
      </c>
      <c r="F4" s="11">
        <v>4.8828125E-3</v>
      </c>
      <c r="G4" s="11">
        <v>0.13605737686157229</v>
      </c>
      <c r="H4" s="15">
        <f>IF('10 elementos'!$C4=0, IF('10 elementos'!$F4=0, 0, "Indefinido"), ABS('10 elementos'!$C4-'10 elementos'!$F4)/'10 elementos'!$C4)</f>
        <v>3.8398525496659331E-5</v>
      </c>
      <c r="I4" s="16">
        <v>1</v>
      </c>
      <c r="J4" s="17">
        <f>'10 elementos'!$D4/'10 elementos'!$G4</f>
        <v>388.22125726782366</v>
      </c>
    </row>
    <row r="5" spans="1:11" ht="14.25" customHeight="1">
      <c r="A5" s="10" t="s">
        <v>19</v>
      </c>
      <c r="B5" s="11" t="s">
        <v>20</v>
      </c>
      <c r="C5" s="12">
        <v>4.8830000000000002E-3</v>
      </c>
      <c r="D5" s="13">
        <v>50.810332536697402</v>
      </c>
      <c r="E5" s="11" t="s">
        <v>21</v>
      </c>
      <c r="F5" s="11">
        <v>4.8828125E-3</v>
      </c>
      <c r="G5" s="11">
        <v>0.13763260841369629</v>
      </c>
      <c r="H5" s="15">
        <f>IF('10 elementos'!$C5=0, IF('10 elementos'!$F5=0, 0, "Indefinido"), ABS('10 elementos'!$C5-'10 elementos'!$F5)/'10 elementos'!$C5)</f>
        <v>3.8398525496659331E-5</v>
      </c>
      <c r="I5" s="16">
        <v>1</v>
      </c>
      <c r="J5" s="17">
        <f>'10 elementos'!$D5/'10 elementos'!$G5</f>
        <v>369.17365094158231</v>
      </c>
    </row>
    <row r="6" spans="1:11" ht="14.25" customHeight="1">
      <c r="A6" s="10" t="s">
        <v>22</v>
      </c>
      <c r="B6" s="11" t="s">
        <v>23</v>
      </c>
      <c r="C6" s="12">
        <v>0.47265600000000002</v>
      </c>
      <c r="D6" s="13">
        <v>57.439945220947301</v>
      </c>
      <c r="E6" s="11" t="s">
        <v>24</v>
      </c>
      <c r="F6" s="11">
        <v>0.47265625</v>
      </c>
      <c r="G6" s="11">
        <v>0.24005460739135739</v>
      </c>
      <c r="H6" s="15">
        <f>IF('10 elementos'!$C6=0, IF('10 elementos'!$F6=0, 0, "Indefinido"), ABS('10 elementos'!$C6-'10 elementos'!$F6)/'10 elementos'!$C6)</f>
        <v>5.2892589955365701E-7</v>
      </c>
      <c r="I6" s="16">
        <v>1</v>
      </c>
      <c r="J6" s="17">
        <f>'10 elementos'!$D6/'10 elementos'!$G6</f>
        <v>239.27866182257367</v>
      </c>
    </row>
    <row r="7" spans="1:11" ht="14.25" customHeight="1">
      <c r="A7" s="10" t="s">
        <v>25</v>
      </c>
      <c r="B7" s="11" t="s">
        <v>26</v>
      </c>
      <c r="C7" s="12">
        <v>0.47265600000000002</v>
      </c>
      <c r="D7" s="13">
        <v>45.450145006179802</v>
      </c>
      <c r="E7" s="11" t="s">
        <v>27</v>
      </c>
      <c r="F7" s="11">
        <v>0.47265625</v>
      </c>
      <c r="G7" s="11">
        <v>0.29289031028747559</v>
      </c>
      <c r="H7" s="15">
        <f>IF('10 elementos'!$C7=0, IF('10 elementos'!$F7=0, 0, "Indefinido"), ABS('10 elementos'!$C7-'10 elementos'!$F7)/'10 elementos'!$C7)</f>
        <v>5.2892589955365701E-7</v>
      </c>
      <c r="I7" s="16">
        <v>1</v>
      </c>
      <c r="J7" s="17">
        <f>'10 elementos'!$D7/'10 elementos'!$G7</f>
        <v>155.17804246091276</v>
      </c>
    </row>
    <row r="8" spans="1:11" ht="14.25" customHeight="1">
      <c r="A8" s="10" t="s">
        <v>28</v>
      </c>
      <c r="B8" s="11" t="s">
        <v>29</v>
      </c>
      <c r="C8" s="12">
        <v>1.1719E-2</v>
      </c>
      <c r="D8" s="13">
        <v>25.113384962081899</v>
      </c>
      <c r="E8" s="11" t="s">
        <v>30</v>
      </c>
      <c r="F8" s="11">
        <v>1.171875E-2</v>
      </c>
      <c r="G8" s="11">
        <v>7.6529264450073242E-2</v>
      </c>
      <c r="H8" s="15">
        <f>IF('10 elementos'!$C8=0, IF('10 elementos'!$F8=0, 0, "Indefinido"), ABS('10 elementos'!$C8-'10 elementos'!$F8)/'10 elementos'!$C8)</f>
        <v>2.1332878231952387E-5</v>
      </c>
      <c r="I8" s="16">
        <v>0</v>
      </c>
      <c r="J8" s="17">
        <f>'10 elementos'!$D8/'10 elementos'!$G8</f>
        <v>328.15400935240353</v>
      </c>
    </row>
    <row r="9" spans="1:11" ht="14.25" customHeight="1">
      <c r="A9" s="10" t="s">
        <v>31</v>
      </c>
      <c r="B9" s="11" t="s">
        <v>32</v>
      </c>
      <c r="C9" s="18">
        <v>4.8830000000000002E-3</v>
      </c>
      <c r="D9" s="13">
        <v>24.022702932357799</v>
      </c>
      <c r="E9" s="11" t="s">
        <v>33</v>
      </c>
      <c r="F9" s="11">
        <v>4.8828125E-3</v>
      </c>
      <c r="G9" s="11">
        <v>0.13067531585693359</v>
      </c>
      <c r="H9" s="15">
        <f>IF('10 elementos'!$C9=0, IF('10 elementos'!$F9=0, 0, "Indefinido"), ABS('10 elementos'!$C9-'10 elementos'!$F9)/'10 elementos'!$C9)</f>
        <v>3.8398525496659331E-5</v>
      </c>
      <c r="I9" s="16">
        <v>1</v>
      </c>
      <c r="J9" s="17">
        <f>'10 elementos'!$D9/'10 elementos'!$G9</f>
        <v>183.83504776570365</v>
      </c>
    </row>
    <row r="10" spans="1:11" ht="21.75" customHeight="1">
      <c r="A10" s="12" t="s">
        <v>34</v>
      </c>
      <c r="B10" s="11" t="s">
        <v>35</v>
      </c>
      <c r="C10" s="14">
        <v>4.8830000000000002E-3</v>
      </c>
      <c r="D10" s="14">
        <v>22.77366065979</v>
      </c>
      <c r="E10" s="11" t="s">
        <v>36</v>
      </c>
      <c r="F10" s="11">
        <v>4.8828125E-3</v>
      </c>
      <c r="G10" s="11">
        <v>0.121307373046875</v>
      </c>
      <c r="H10" s="15">
        <f>IF('10 elementos'!$C10=0, IF('10 elementos'!$F10=0, 0, "Indefinido"), ABS('10 elementos'!$C10-'10 elementos'!$F10)/'10 elementos'!$C10)</f>
        <v>3.8398525496659331E-5</v>
      </c>
      <c r="I10" s="16">
        <v>1</v>
      </c>
      <c r="J10" s="17">
        <f>'10 elementos'!$D10/'10 elementos'!$G10</f>
        <v>187.73517295597452</v>
      </c>
    </row>
    <row r="11" spans="1:11" ht="14.25" customHeight="1">
      <c r="A11" s="10" t="s">
        <v>37</v>
      </c>
      <c r="B11" s="11" t="s">
        <v>38</v>
      </c>
      <c r="C11" s="12">
        <v>4.8830000000000002E-3</v>
      </c>
      <c r="D11" s="13">
        <v>22.967752456665</v>
      </c>
      <c r="E11" s="11" t="s">
        <v>39</v>
      </c>
      <c r="F11" s="11">
        <v>4.8828125E-3</v>
      </c>
      <c r="G11" s="11">
        <v>0.1215248107910156</v>
      </c>
      <c r="H11" s="15">
        <f>IF('10 elementos'!$C11=0, IF('10 elementos'!$F11=0, 0, "Indefinido"), ABS('10 elementos'!$C11-'10 elementos'!$F11)/'10 elementos'!$C11)</f>
        <v>3.8398525496659331E-5</v>
      </c>
      <c r="I11" s="16">
        <v>1</v>
      </c>
      <c r="J11" s="17">
        <f>'10 elementos'!$D11/'10 elementos'!$G11</f>
        <v>188.9964058134787</v>
      </c>
    </row>
    <row r="12" spans="1:11" ht="14.25" customHeight="1">
      <c r="A12" s="10" t="s">
        <v>40</v>
      </c>
      <c r="B12" s="11" t="s">
        <v>41</v>
      </c>
      <c r="C12" s="12">
        <v>4.8830000000000002E-3</v>
      </c>
      <c r="D12" s="13">
        <v>22.794874429702801</v>
      </c>
      <c r="E12" s="11" t="s">
        <v>42</v>
      </c>
      <c r="F12" s="11">
        <v>4.8828125E-3</v>
      </c>
      <c r="G12" s="11">
        <v>0.12075471878051761</v>
      </c>
      <c r="H12" s="15">
        <f>IF('10 elementos'!$C12=0, IF('10 elementos'!$F12=0, 0, "Indefinido"), ABS('10 elementos'!$C12-'10 elementos'!$F12)/'10 elementos'!$C12)</f>
        <v>3.8398525496659331E-5</v>
      </c>
      <c r="I12" s="16">
        <v>1</v>
      </c>
      <c r="J12" s="17">
        <f>'10 elementos'!$D12/'10 elementos'!$G12</f>
        <v>188.77005105808331</v>
      </c>
    </row>
    <row r="13" spans="1:11" ht="14.25" customHeight="1">
      <c r="A13" s="10" t="s">
        <v>43</v>
      </c>
      <c r="B13" s="11" t="s">
        <v>44</v>
      </c>
      <c r="C13" s="12">
        <v>0.47265600000000002</v>
      </c>
      <c r="D13" s="13">
        <v>21.2399821281433</v>
      </c>
      <c r="E13" s="11" t="s">
        <v>45</v>
      </c>
      <c r="F13" s="11">
        <v>0.47265625</v>
      </c>
      <c r="G13" s="11">
        <v>0.2058722972869873</v>
      </c>
      <c r="H13" s="15">
        <f>IF('10 elementos'!$C13=0, IF('10 elementos'!$F13=0, 0, "Indefinido"), ABS('10 elementos'!$C13-'10 elementos'!$F13)/'10 elementos'!$C13)</f>
        <v>5.2892589955365701E-7</v>
      </c>
      <c r="I13" s="16">
        <v>1</v>
      </c>
      <c r="J13" s="17">
        <f>'10 elementos'!$D13/'10 elementos'!$G13</f>
        <v>103.1706665153429</v>
      </c>
    </row>
    <row r="14" spans="1:11" ht="14.25" customHeight="1">
      <c r="A14" s="10" t="s">
        <v>46</v>
      </c>
      <c r="B14" s="11" t="s">
        <v>47</v>
      </c>
      <c r="C14" s="12">
        <v>5.8589999999999996E-3</v>
      </c>
      <c r="D14" s="13">
        <v>12.6689350605011</v>
      </c>
      <c r="E14" s="11" t="s">
        <v>48</v>
      </c>
      <c r="F14" s="11">
        <v>5.859375E-3</v>
      </c>
      <c r="G14" s="11">
        <v>4.7006845474243157E-2</v>
      </c>
      <c r="H14" s="15">
        <f>IF('10 elementos'!$C14=0, IF('10 elementos'!$F14=0, 0, "Indefinido"), ABS('10 elementos'!$C14-'10 elementos'!$F14)/'10 elementos'!$C14)</f>
        <v>6.4004096262224787E-5</v>
      </c>
      <c r="I14" s="16">
        <v>1</v>
      </c>
      <c r="J14" s="17">
        <f>'10 elementos'!$D14/'10 elementos'!$G14</f>
        <v>269.51255572856707</v>
      </c>
    </row>
    <row r="15" spans="1:11" ht="14.25" customHeight="1">
      <c r="A15" s="10" t="s">
        <v>49</v>
      </c>
      <c r="B15" s="11" t="s">
        <v>50</v>
      </c>
      <c r="C15" s="12">
        <v>1.1719E-2</v>
      </c>
      <c r="D15" s="13">
        <v>11.6711201667786</v>
      </c>
      <c r="E15" s="11" t="s">
        <v>51</v>
      </c>
      <c r="F15" s="11">
        <v>1.171875E-2</v>
      </c>
      <c r="G15" s="11">
        <v>6.7013263702392578E-2</v>
      </c>
      <c r="H15" s="15">
        <f>IF('10 elementos'!$C15=0, IF('10 elementos'!$F15=0, 0, "Indefinido"), ABS('10 elementos'!$C15-'10 elementos'!$F15)/'10 elementos'!$C15)</f>
        <v>2.1332878231952387E-5</v>
      </c>
      <c r="I15" s="16">
        <v>0</v>
      </c>
      <c r="J15" s="17">
        <f>'10 elementos'!$D15/'10 elementos'!$G15</f>
        <v>174.1613454108176</v>
      </c>
    </row>
    <row r="16" spans="1:11" ht="14.25" customHeight="1">
      <c r="A16" s="10" t="s">
        <v>52</v>
      </c>
      <c r="B16" s="11" t="s">
        <v>53</v>
      </c>
      <c r="C16" s="12">
        <v>1.1719E-2</v>
      </c>
      <c r="D16" s="13">
        <v>11.513462305069</v>
      </c>
      <c r="E16" s="11" t="s">
        <v>54</v>
      </c>
      <c r="F16" s="11">
        <v>1.171875E-2</v>
      </c>
      <c r="G16" s="11">
        <v>6.6040992736816406E-2</v>
      </c>
      <c r="H16" s="15">
        <f>IF('10 elementos'!$C16=0, IF('10 elementos'!$F16=0, 0, "Indefinido"), ABS('10 elementos'!$C16-'10 elementos'!$F16)/'10 elementos'!$C16)</f>
        <v>2.1332878231952387E-5</v>
      </c>
      <c r="I16" s="16">
        <v>0</v>
      </c>
      <c r="J16" s="17">
        <f>'10 elementos'!$D16/'10 elementos'!$G16</f>
        <v>174.33811679591088</v>
      </c>
    </row>
    <row r="17" spans="1:10" ht="14.25" customHeight="1">
      <c r="A17" s="10" t="s">
        <v>55</v>
      </c>
      <c r="B17" s="11" t="s">
        <v>56</v>
      </c>
      <c r="C17" s="12">
        <v>4.8830000000000002E-3</v>
      </c>
      <c r="D17" s="13">
        <v>11.240076541900599</v>
      </c>
      <c r="E17" s="11" t="s">
        <v>57</v>
      </c>
      <c r="F17" s="11">
        <v>4.8828125E-3</v>
      </c>
      <c r="G17" s="11">
        <v>0.1075243949890137</v>
      </c>
      <c r="H17" s="15">
        <f>IF('10 elementos'!$C17=0, IF('10 elementos'!$F17=0, 0, "Indefinido"), ABS('10 elementos'!$C17-'10 elementos'!$F17)/'10 elementos'!$C17)</f>
        <v>3.8398525496659331E-5</v>
      </c>
      <c r="I17" s="16">
        <v>1</v>
      </c>
      <c r="J17" s="17">
        <f>'10 elementos'!$D17/'10 elementos'!$G17</f>
        <v>104.53512938202586</v>
      </c>
    </row>
    <row r="18" spans="1:10" ht="14.25" customHeight="1">
      <c r="A18" s="10" t="s">
        <v>58</v>
      </c>
      <c r="B18" s="11" t="s">
        <v>59</v>
      </c>
      <c r="C18" s="12">
        <v>4.8830000000000002E-3</v>
      </c>
      <c r="D18" s="13">
        <v>11.241612911224401</v>
      </c>
      <c r="E18" s="11" t="s">
        <v>60</v>
      </c>
      <c r="F18" s="11">
        <v>4.8828125E-3</v>
      </c>
      <c r="G18" s="11">
        <v>0.11654758453369141</v>
      </c>
      <c r="H18" s="15">
        <f>IF('10 elementos'!$C18=0, IF('10 elementos'!$F18=0, 0, "Indefinido"), ABS('10 elementos'!$C18-'10 elementos'!$F18)/'10 elementos'!$C18)</f>
        <v>3.8398525496659331E-5</v>
      </c>
      <c r="I18" s="16">
        <v>1</v>
      </c>
      <c r="J18" s="17">
        <f>'10 elementos'!$D18/'10 elementos'!$G18</f>
        <v>96.455134237249609</v>
      </c>
    </row>
    <row r="19" spans="1:10" ht="14.25" customHeight="1">
      <c r="A19" s="10" t="s">
        <v>61</v>
      </c>
      <c r="B19" s="11" t="s">
        <v>62</v>
      </c>
      <c r="C19" s="12">
        <v>0.48046899999999998</v>
      </c>
      <c r="D19" s="13">
        <v>10.7903723716736</v>
      </c>
      <c r="E19" s="11" t="s">
        <v>63</v>
      </c>
      <c r="F19" s="11">
        <v>0.48046875</v>
      </c>
      <c r="G19" s="11">
        <v>0.17713832855224609</v>
      </c>
      <c r="H19" s="15">
        <f>IF('10 elementos'!$C19=0, IF('10 elementos'!$F19=0, 0, "Indefinido"), ABS('10 elementos'!$C19-'10 elementos'!$F19)/'10 elementos'!$C19)</f>
        <v>5.2032493247105094E-7</v>
      </c>
      <c r="I19" s="16">
        <v>1</v>
      </c>
      <c r="J19" s="17">
        <f>'10 elementos'!$D19/'10 elementos'!$G19</f>
        <v>60.914949688548248</v>
      </c>
    </row>
    <row r="20" spans="1:10" ht="14.25" customHeight="1">
      <c r="A20" s="10" t="s">
        <v>64</v>
      </c>
      <c r="B20" s="11" t="s">
        <v>65</v>
      </c>
      <c r="C20" s="12">
        <v>1.9531E-2</v>
      </c>
      <c r="D20" s="13">
        <v>5.7131755352020299</v>
      </c>
      <c r="E20" s="11" t="s">
        <v>66</v>
      </c>
      <c r="F20" s="11">
        <v>1.953125E-2</v>
      </c>
      <c r="G20" s="11">
        <v>4.105687141418457E-2</v>
      </c>
      <c r="H20" s="15">
        <f>IF('10 elementos'!$C20=0, IF('10 elementos'!$F20=0, 0, "Indefinido"), ABS('10 elementos'!$C20-'10 elementos'!$F20)/'10 elementos'!$C20)</f>
        <v>1.280016384210998E-5</v>
      </c>
      <c r="I20" s="16">
        <v>1</v>
      </c>
      <c r="J20" s="17">
        <f>'10 elementos'!$D20/'10 elementos'!$G20</f>
        <v>139.15272494991444</v>
      </c>
    </row>
    <row r="21" spans="1:10" ht="14.25" customHeight="1">
      <c r="A21" s="10" t="s">
        <v>67</v>
      </c>
      <c r="B21" s="11" t="s">
        <v>68</v>
      </c>
      <c r="C21" s="12">
        <v>5.8589999999999996E-3</v>
      </c>
      <c r="D21" s="13">
        <v>5.6757905483245796</v>
      </c>
      <c r="E21" s="11" t="s">
        <v>69</v>
      </c>
      <c r="F21" s="11">
        <v>5.859375E-3</v>
      </c>
      <c r="G21" s="11">
        <v>4.2002201080322273E-2</v>
      </c>
      <c r="H21" s="15">
        <f>IF('10 elementos'!$C21=0, IF('10 elementos'!$F21=0, 0, "Indefinido"), ABS('10 elementos'!$C21-'10 elementos'!$F21)/'10 elementos'!$C21)</f>
        <v>6.4004096262224787E-5</v>
      </c>
      <c r="I21" s="16">
        <v>1</v>
      </c>
      <c r="J21" s="17">
        <f>'10 elementos'!$D21/'10 elementos'!$G21</f>
        <v>135.13078844298107</v>
      </c>
    </row>
    <row r="22" spans="1:10" ht="14.25" customHeight="1">
      <c r="A22" s="10" t="s">
        <v>70</v>
      </c>
      <c r="B22" s="11" t="s">
        <v>71</v>
      </c>
      <c r="C22" s="12">
        <v>1.1719E-2</v>
      </c>
      <c r="D22" s="13">
        <v>5.4322009086608896</v>
      </c>
      <c r="E22" s="11" t="s">
        <v>72</v>
      </c>
      <c r="F22" s="11">
        <v>1.171875E-2</v>
      </c>
      <c r="G22" s="11">
        <v>5.7041645050048828E-2</v>
      </c>
      <c r="H22" s="15">
        <f>IF('10 elementos'!$C22=0, IF('10 elementos'!$F22=0, 0, "Indefinido"), ABS('10 elementos'!$C22-'10 elementos'!$F22)/'10 elementos'!$C22)</f>
        <v>2.1332878231952387E-5</v>
      </c>
      <c r="I22" s="16">
        <v>0</v>
      </c>
      <c r="J22" s="17">
        <f>'10 elementos'!$D22/'10 elementos'!$G22</f>
        <v>95.232192267502626</v>
      </c>
    </row>
    <row r="23" spans="1:10" ht="14.25" customHeight="1">
      <c r="A23" s="10" t="s">
        <v>73</v>
      </c>
      <c r="B23" s="11" t="s">
        <v>74</v>
      </c>
      <c r="C23" s="12">
        <v>4.8830000000000002E-3</v>
      </c>
      <c r="D23" s="13">
        <v>5.20428514480591</v>
      </c>
      <c r="E23" s="11" t="s">
        <v>75</v>
      </c>
      <c r="F23" s="11">
        <v>4.8828125E-3</v>
      </c>
      <c r="G23" s="11">
        <v>9.1557025909423828E-2</v>
      </c>
      <c r="H23" s="15">
        <f>IF('10 elementos'!$C23=0, IF('10 elementos'!$F23=0, 0, "Indefinido"), ABS('10 elementos'!$C23-'10 elementos'!$F23)/'10 elementos'!$C23)</f>
        <v>3.8398525496659331E-5</v>
      </c>
      <c r="I23" s="16">
        <v>1</v>
      </c>
      <c r="J23" s="17">
        <f>'10 elementos'!$D23/'10 elementos'!$G23</f>
        <v>56.842007405902869</v>
      </c>
    </row>
    <row r="24" spans="1:10" ht="14.25" customHeight="1">
      <c r="A24" s="10" t="s">
        <v>76</v>
      </c>
      <c r="B24" s="11" t="s">
        <v>77</v>
      </c>
      <c r="C24" s="12">
        <v>4.8830000000000002E-3</v>
      </c>
      <c r="D24" s="13">
        <v>5.9386115074157697</v>
      </c>
      <c r="E24" s="11" t="s">
        <v>78</v>
      </c>
      <c r="F24" s="11">
        <v>4.8828125E-3</v>
      </c>
      <c r="G24" s="11">
        <v>9.2844963073730469E-2</v>
      </c>
      <c r="H24" s="15">
        <f>IF('10 elementos'!$C24=0, IF('10 elementos'!$F24=0, 0, "Indefinido"), ABS('10 elementos'!$C24-'10 elementos'!$F24)/'10 elementos'!$C24)</f>
        <v>3.8398525496659331E-5</v>
      </c>
      <c r="I24" s="16">
        <v>1</v>
      </c>
      <c r="J24" s="17">
        <f>'10 elementos'!$D24/'10 elementos'!$G24</f>
        <v>63.962667556879445</v>
      </c>
    </row>
    <row r="25" spans="1:10" ht="14.25" customHeight="1">
      <c r="A25" s="10" t="s">
        <v>79</v>
      </c>
      <c r="B25" s="11" t="s">
        <v>80</v>
      </c>
      <c r="C25" s="12">
        <v>4.8830000000000002E-3</v>
      </c>
      <c r="D25" s="13">
        <v>5.5664587020873997</v>
      </c>
      <c r="E25" s="11" t="s">
        <v>81</v>
      </c>
      <c r="F25" s="11">
        <v>4.8828125E-3</v>
      </c>
      <c r="G25" s="11">
        <v>9.3064308166503906E-2</v>
      </c>
      <c r="H25" s="15">
        <f>IF('10 elementos'!$C25=0, IF('10 elementos'!$F25=0, 0, "Indefinido"), ABS('10 elementos'!$C25-'10 elementos'!$F25)/'10 elementos'!$C25)</f>
        <v>3.8398525496659331E-5</v>
      </c>
      <c r="I25" s="16">
        <v>1</v>
      </c>
      <c r="J25" s="17">
        <f>'10 elementos'!$D25/'10 elementos'!$G25</f>
        <v>59.81303479018289</v>
      </c>
    </row>
    <row r="26" spans="1:10" ht="14.25" customHeight="1">
      <c r="A26" s="10" t="s">
        <v>82</v>
      </c>
      <c r="B26" s="11" t="s">
        <v>83</v>
      </c>
      <c r="C26" s="12">
        <v>1.5625E-2</v>
      </c>
      <c r="D26" s="13">
        <v>2.96742486953735</v>
      </c>
      <c r="E26" s="11" t="s">
        <v>84</v>
      </c>
      <c r="F26" s="11">
        <v>1.5625E-2</v>
      </c>
      <c r="G26" s="11">
        <v>2.2977352142333981E-2</v>
      </c>
      <c r="H26" s="15">
        <f>IF('10 elementos'!$C26=0, IF('10 elementos'!$F26=0, 0, "Indefinido"), ABS('10 elementos'!$C26-'10 elementos'!$F26)/'10 elementos'!$C26)</f>
        <v>0</v>
      </c>
      <c r="I26" s="16">
        <v>1</v>
      </c>
      <c r="J26" s="17">
        <f>'10 elementos'!$D26/'10 elementos'!$G26</f>
        <v>129.14564094050249</v>
      </c>
    </row>
    <row r="27" spans="1:10" ht="14.25" customHeight="1">
      <c r="A27" s="10" t="s">
        <v>85</v>
      </c>
      <c r="B27" s="11" t="s">
        <v>86</v>
      </c>
      <c r="C27" s="12">
        <v>3.9060000000000002E-3</v>
      </c>
      <c r="D27" s="13">
        <v>3.0826652050018302</v>
      </c>
      <c r="E27" s="11" t="s">
        <v>87</v>
      </c>
      <c r="F27" s="11">
        <v>3.90625E-3</v>
      </c>
      <c r="G27" s="11">
        <v>2.5020122528076168E-2</v>
      </c>
      <c r="H27" s="15">
        <f>IF('10 elementos'!$C27=0, IF('10 elementos'!$F27=0, 0, "Indefinido"), ABS('10 elementos'!$C27-'10 elementos'!$F27)/'10 elementos'!$C27)</f>
        <v>6.4004096262113751E-5</v>
      </c>
      <c r="I27" s="16">
        <v>1</v>
      </c>
      <c r="J27" s="17">
        <f>'10 elementos'!$D27/'10 elementos'!$G27</f>
        <v>123.20743839454173</v>
      </c>
    </row>
    <row r="28" spans="1:10" ht="14.25" customHeight="1">
      <c r="A28" s="10" t="s">
        <v>88</v>
      </c>
      <c r="B28" s="11" t="s">
        <v>89</v>
      </c>
      <c r="C28" s="12">
        <v>1.9531E-2</v>
      </c>
      <c r="D28" s="13">
        <v>2.71401023864746</v>
      </c>
      <c r="E28" s="11" t="s">
        <v>90</v>
      </c>
      <c r="F28" s="11">
        <v>1.953125E-2</v>
      </c>
      <c r="G28" s="11">
        <v>3.7999868392944343E-2</v>
      </c>
      <c r="H28" s="15">
        <f>IF('10 elementos'!$C28=0, IF('10 elementos'!$F28=0, 0, "Indefinido"), ABS('10 elementos'!$C28-'10 elementos'!$F28)/'10 elementos'!$C28)</f>
        <v>1.280016384210998E-5</v>
      </c>
      <c r="I28" s="16">
        <v>1</v>
      </c>
      <c r="J28" s="17">
        <f>'10 elementos'!$D28/'10 elementos'!$G28</f>
        <v>71.421569427103236</v>
      </c>
    </row>
    <row r="29" spans="1:10" ht="14.25" customHeight="1">
      <c r="A29" s="10" t="s">
        <v>91</v>
      </c>
      <c r="B29" s="11" t="s">
        <v>92</v>
      </c>
      <c r="C29" s="12">
        <v>0.47265600000000002</v>
      </c>
      <c r="D29" s="13">
        <v>2.49422359466553</v>
      </c>
      <c r="E29" s="11" t="s">
        <v>93</v>
      </c>
      <c r="F29" s="11">
        <v>0.47265625</v>
      </c>
      <c r="G29" s="11">
        <v>0.1278538703918457</v>
      </c>
      <c r="H29" s="15">
        <f>IF('10 elementos'!$C29=0, IF('10 elementos'!$F29=0, 0, "Indefinido"), ABS('10 elementos'!$C29-'10 elementos'!$F29)/'10 elementos'!$C29)</f>
        <v>5.2892589955365701E-7</v>
      </c>
      <c r="I29" s="16">
        <v>0</v>
      </c>
      <c r="J29" s="17">
        <f>'10 elementos'!$D29/'10 elementos'!$G29</f>
        <v>19.508393347978046</v>
      </c>
    </row>
    <row r="30" spans="1:10" ht="14.25" customHeight="1">
      <c r="A30" s="10" t="s">
        <v>94</v>
      </c>
      <c r="B30" s="11" t="s">
        <v>95</v>
      </c>
      <c r="C30" s="12">
        <v>0.484375</v>
      </c>
      <c r="D30" s="13">
        <v>2.4571738243103001</v>
      </c>
      <c r="E30" s="11" t="s">
        <v>96</v>
      </c>
      <c r="F30" s="11">
        <v>0.494140625</v>
      </c>
      <c r="G30" s="11">
        <v>0.1321907043457031</v>
      </c>
      <c r="H30" s="15">
        <f>IF('10 elementos'!$C30=0, IF('10 elementos'!$F30=0, 0, "Indefinido"), ABS('10 elementos'!$C30-'10 elementos'!$F30)/'10 elementos'!$C30)</f>
        <v>2.0161290322580645E-2</v>
      </c>
      <c r="I30" s="16">
        <v>0</v>
      </c>
      <c r="J30" s="17">
        <f>'10 elementos'!$D30/'10 elementos'!$G30</f>
        <v>18.588098433036084</v>
      </c>
    </row>
    <row r="31" spans="1:10" ht="14.25" customHeight="1">
      <c r="A31" s="10" t="s">
        <v>97</v>
      </c>
      <c r="B31" s="11" t="s">
        <v>98</v>
      </c>
      <c r="C31" s="12">
        <v>1.1719E-2</v>
      </c>
      <c r="D31" s="13">
        <v>3.16008353233337</v>
      </c>
      <c r="E31" s="11" t="s">
        <v>99</v>
      </c>
      <c r="F31" s="11">
        <v>1.171875E-2</v>
      </c>
      <c r="G31" s="11">
        <v>5.2535533905029297E-2</v>
      </c>
      <c r="H31" s="15">
        <f>IF('10 elementos'!$C31=0, IF('10 elementos'!$F31=0, 0, "Indefinido"), ABS('10 elementos'!$C31-'10 elementos'!$F31)/'10 elementos'!$C31)</f>
        <v>2.1332878231952387E-5</v>
      </c>
      <c r="I31" s="16">
        <v>1</v>
      </c>
      <c r="J31" s="17">
        <f>'10 elementos'!$D31/'10 elementos'!$G31</f>
        <v>60.151354663036003</v>
      </c>
    </row>
    <row r="32" spans="1:10" ht="14.25" customHeight="1">
      <c r="A32" s="10" t="s">
        <v>100</v>
      </c>
      <c r="B32" s="11" t="s">
        <v>101</v>
      </c>
      <c r="C32" s="12">
        <v>1.5625E-2</v>
      </c>
      <c r="D32" s="13">
        <v>1.3594560623168901</v>
      </c>
      <c r="E32" s="11" t="s">
        <v>102</v>
      </c>
      <c r="F32" s="11">
        <v>1.5625E-2</v>
      </c>
      <c r="G32" s="11">
        <v>2.0998001098632809E-2</v>
      </c>
      <c r="H32" s="15">
        <f>IF('10 elementos'!$C32=0, IF('10 elementos'!$F32=0, 0, "Indefinido"), ABS('10 elementos'!$C32-'10 elementos'!$F32)/'10 elementos'!$C32)</f>
        <v>0</v>
      </c>
      <c r="I32" s="16">
        <v>1</v>
      </c>
      <c r="J32" s="17">
        <f>'10 elementos'!$D32/'10 elementos'!$G32</f>
        <v>64.742165500953561</v>
      </c>
    </row>
    <row r="33" spans="1:10" ht="14.25" customHeight="1">
      <c r="A33" s="10" t="s">
        <v>103</v>
      </c>
      <c r="B33" s="11" t="s">
        <v>104</v>
      </c>
      <c r="C33" s="12">
        <v>3.9060000000000002E-3</v>
      </c>
      <c r="D33" s="13">
        <v>1.3686320781707799</v>
      </c>
      <c r="E33" s="11" t="s">
        <v>105</v>
      </c>
      <c r="F33" s="11">
        <v>3.90625E-3</v>
      </c>
      <c r="G33" s="11">
        <v>2.1995782852172852E-2</v>
      </c>
      <c r="H33" s="15">
        <f>IF('10 elementos'!$C33=0, IF('10 elementos'!$F33=0, 0, "Indefinido"), ABS('10 elementos'!$C33-'10 elementos'!$F33)/'10 elementos'!$C33)</f>
        <v>6.4004096262113751E-5</v>
      </c>
      <c r="I33" s="16">
        <v>1</v>
      </c>
      <c r="J33" s="17">
        <f>'10 elementos'!$D33/'10 elementos'!$G33</f>
        <v>62.22247634325867</v>
      </c>
    </row>
    <row r="34" spans="1:10" ht="14.25" customHeight="1">
      <c r="A34" s="10" t="s">
        <v>106</v>
      </c>
      <c r="B34" s="11" t="s">
        <v>107</v>
      </c>
      <c r="C34" s="12">
        <v>1.5625E-2</v>
      </c>
      <c r="D34" s="13">
        <v>1.38655734062195</v>
      </c>
      <c r="E34" s="11" t="s">
        <v>108</v>
      </c>
      <c r="F34" s="11">
        <v>1.5625E-2</v>
      </c>
      <c r="G34" s="11">
        <v>2.1001338958740231E-2</v>
      </c>
      <c r="H34" s="15">
        <f>IF('10 elementos'!$C34=0, IF('10 elementos'!$F34=0, 0, "Indefinido"), ABS('10 elementos'!$C34-'10 elementos'!$F34)/'10 elementos'!$C34)</f>
        <v>0</v>
      </c>
      <c r="I34" s="16">
        <v>1</v>
      </c>
      <c r="J34" s="17">
        <f>'10 elementos'!$D34/'10 elementos'!$G34</f>
        <v>66.022330449787802</v>
      </c>
    </row>
    <row r="35" spans="1:10" ht="14.25" customHeight="1">
      <c r="A35" s="10" t="s">
        <v>109</v>
      </c>
      <c r="B35" s="11" t="s">
        <v>110</v>
      </c>
      <c r="C35" s="12">
        <v>3.9060000000000002E-3</v>
      </c>
      <c r="D35" s="13">
        <v>1.3865983486175499</v>
      </c>
      <c r="E35" s="11" t="s">
        <v>111</v>
      </c>
      <c r="F35" s="11">
        <v>3.90625E-3</v>
      </c>
      <c r="G35" s="11">
        <v>2.197360992431641E-2</v>
      </c>
      <c r="H35" s="15">
        <f>IF('10 elementos'!$C35=0, IF('10 elementos'!$F35=0, 0, "Indefinido"), ABS('10 elementos'!$C35-'10 elementos'!$F35)/'10 elementos'!$C35)</f>
        <v>6.4004096262113751E-5</v>
      </c>
      <c r="I35" s="16">
        <v>1</v>
      </c>
      <c r="J35" s="17">
        <f>'10 elementos'!$D35/'10 elementos'!$G35</f>
        <v>63.102892669588812</v>
      </c>
    </row>
    <row r="36" spans="1:10" ht="14.25" customHeight="1">
      <c r="A36" s="10" t="s">
        <v>112</v>
      </c>
      <c r="B36" s="11" t="s">
        <v>113</v>
      </c>
      <c r="C36" s="12">
        <v>4.8830000000000002E-3</v>
      </c>
      <c r="D36" s="13">
        <v>1.2533917427062999</v>
      </c>
      <c r="E36" s="11" t="s">
        <v>114</v>
      </c>
      <c r="F36" s="11">
        <v>4.8828125E-3</v>
      </c>
      <c r="G36" s="11">
        <v>6.7053318023681641E-2</v>
      </c>
      <c r="H36" s="15">
        <f>IF('10 elementos'!$C36=0, IF('10 elementos'!$F36=0, 0, "Indefinido"), ABS('10 elementos'!$C36-'10 elementos'!$F36)/'10 elementos'!$C36)</f>
        <v>3.8398525496659331E-5</v>
      </c>
      <c r="I36" s="16">
        <v>1</v>
      </c>
      <c r="J36" s="17">
        <f>'10 elementos'!$D36/'10 elementos'!$G36</f>
        <v>18.692464141202255</v>
      </c>
    </row>
    <row r="37" spans="1:10" ht="14.25" customHeight="1">
      <c r="A37" s="10" t="s">
        <v>115</v>
      </c>
      <c r="B37" s="11" t="s">
        <v>116</v>
      </c>
      <c r="C37" s="12">
        <v>4.8830000000000002E-3</v>
      </c>
      <c r="D37" s="13">
        <v>1.98049688339233</v>
      </c>
      <c r="E37" s="11" t="s">
        <v>117</v>
      </c>
      <c r="F37" s="11">
        <v>4.8828125E-3</v>
      </c>
      <c r="G37" s="11">
        <v>6.5589189529418945E-2</v>
      </c>
      <c r="H37" s="15">
        <f>IF('10 elementos'!$C37=0, IF('10 elementos'!$F37=0, 0, "Indefinido"), ABS('10 elementos'!$C37-'10 elementos'!$F37)/'10 elementos'!$C37)</f>
        <v>3.8398525496659331E-5</v>
      </c>
      <c r="I37" s="16">
        <v>1</v>
      </c>
      <c r="J37" s="17">
        <f>'10 elementos'!$D37/'10 elementos'!$G37</f>
        <v>30.195477297428884</v>
      </c>
    </row>
    <row r="38" spans="1:10" ht="14.25" customHeight="1">
      <c r="A38" s="10" t="s">
        <v>118</v>
      </c>
      <c r="B38" s="11" t="s">
        <v>119</v>
      </c>
      <c r="C38" s="12">
        <v>5.8589999999999996E-3</v>
      </c>
      <c r="D38" s="13">
        <v>1.2343282699585001</v>
      </c>
      <c r="E38" s="11" t="s">
        <v>120</v>
      </c>
      <c r="F38" s="11">
        <v>5.859375E-3</v>
      </c>
      <c r="G38" s="11">
        <v>6.6024303436279297E-2</v>
      </c>
      <c r="H38" s="15">
        <f>IF('10 elementos'!$C38=0, IF('10 elementos'!$F38=0, 0, "Indefinido"), ABS('10 elementos'!$C38-'10 elementos'!$F38)/'10 elementos'!$C38)</f>
        <v>6.4004096262224787E-5</v>
      </c>
      <c r="I38" s="16">
        <v>1</v>
      </c>
      <c r="J38" s="17">
        <f>'10 elementos'!$D38/'10 elementos'!$G38</f>
        <v>18.695059329929357</v>
      </c>
    </row>
    <row r="39" spans="1:10" ht="14.25" customHeight="1">
      <c r="A39" s="10" t="s">
        <v>121</v>
      </c>
      <c r="B39" s="11" t="s">
        <v>122</v>
      </c>
      <c r="C39" s="12">
        <v>6.8360000000000001E-3</v>
      </c>
      <c r="D39" s="13">
        <v>1.2513570785522501</v>
      </c>
      <c r="E39" s="11" t="s">
        <v>123</v>
      </c>
      <c r="F39" s="11">
        <v>6.8359375E-3</v>
      </c>
      <c r="G39" s="11">
        <v>6.9590330123901367E-2</v>
      </c>
      <c r="H39" s="15">
        <f>IF('10 elementos'!$C39=0, IF('10 elementos'!$F39=0, 0, "Indefinido"), ABS('10 elementos'!$C39-'10 elementos'!$F39)/'10 elementos'!$C39)</f>
        <v>9.1427735517938124E-6</v>
      </c>
      <c r="I39" s="16">
        <v>1</v>
      </c>
      <c r="J39" s="17">
        <f>'10 elementos'!$D39/'10 elementos'!$G39</f>
        <v>17.981766666780924</v>
      </c>
    </row>
    <row r="40" spans="1:10" ht="14.25" customHeight="1">
      <c r="A40" s="10" t="s">
        <v>124</v>
      </c>
      <c r="B40" s="11" t="s">
        <v>125</v>
      </c>
      <c r="C40" s="12">
        <v>5.8589999999999996E-3</v>
      </c>
      <c r="D40" s="13">
        <v>1.41789102554321</v>
      </c>
      <c r="E40" s="11" t="s">
        <v>126</v>
      </c>
      <c r="F40" s="11">
        <v>5.859375E-3</v>
      </c>
      <c r="G40" s="11">
        <v>3.453826904296875E-2</v>
      </c>
      <c r="H40" s="15">
        <f>IF('10 elementos'!$C40=0, IF('10 elementos'!$F40=0, 0, "Indefinido"), ABS('10 elementos'!$C40-'10 elementos'!$F40)/'10 elementos'!$C40)</f>
        <v>6.4004096262224787E-5</v>
      </c>
      <c r="I40" s="16">
        <v>1</v>
      </c>
      <c r="J40" s="17">
        <f>'10 elementos'!$D40/'10 elementos'!$G40</f>
        <v>41.052752926883059</v>
      </c>
    </row>
    <row r="41" spans="1:10" ht="14.25" customHeight="1">
      <c r="A41" s="10" t="s">
        <v>127</v>
      </c>
      <c r="B41" s="11" t="s">
        <v>128</v>
      </c>
      <c r="C41" s="12">
        <v>1.5625E-2</v>
      </c>
      <c r="D41" s="13">
        <v>0.6773681640625</v>
      </c>
      <c r="E41" s="11" t="s">
        <v>129</v>
      </c>
      <c r="F41" s="11">
        <v>1.5625E-2</v>
      </c>
      <c r="G41" s="11">
        <v>1.8973112106323239E-2</v>
      </c>
      <c r="H41" s="15">
        <f>IF('10 elementos'!$C41=0, IF('10 elementos'!$F41=0, 0, "Indefinido"), ABS('10 elementos'!$C41-'10 elementos'!$F41)/'10 elementos'!$C41)</f>
        <v>0</v>
      </c>
      <c r="I41" s="16">
        <v>1</v>
      </c>
      <c r="J41" s="17">
        <f>'10 elementos'!$D41/'10 elementos'!$G41</f>
        <v>35.701479033413342</v>
      </c>
    </row>
    <row r="42" spans="1:10" ht="14.25" customHeight="1">
      <c r="A42" s="10" t="s">
        <v>130</v>
      </c>
      <c r="B42" s="11" t="s">
        <v>131</v>
      </c>
      <c r="C42" s="12">
        <v>3.9060000000000002E-3</v>
      </c>
      <c r="D42" s="13">
        <v>0.68303132057189897</v>
      </c>
      <c r="E42" s="11" t="s">
        <v>132</v>
      </c>
      <c r="F42" s="11">
        <v>3.90625E-3</v>
      </c>
      <c r="G42" s="11">
        <v>1.85394287109375E-2</v>
      </c>
      <c r="H42" s="15">
        <f>IF('10 elementos'!$C42=0, IF('10 elementos'!$F42=0, 0, "Indefinido"), ABS('10 elementos'!$C42-'10 elementos'!$F42)/'10 elementos'!$C42)</f>
        <v>6.4004096262113751E-5</v>
      </c>
      <c r="I42" s="16">
        <v>1</v>
      </c>
      <c r="J42" s="17">
        <f>'10 elementos'!$D42/'10 elementos'!$G42</f>
        <v>36.842091049382695</v>
      </c>
    </row>
    <row r="43" spans="1:10" ht="14.25" customHeight="1">
      <c r="A43" s="10" t="s">
        <v>133</v>
      </c>
      <c r="B43" s="11" t="s">
        <v>134</v>
      </c>
      <c r="C43" s="12">
        <v>1.9531E-2</v>
      </c>
      <c r="D43" s="13">
        <v>0.62794756889343295</v>
      </c>
      <c r="E43" s="11" t="s">
        <v>135</v>
      </c>
      <c r="F43" s="11">
        <v>1.953125E-2</v>
      </c>
      <c r="G43" s="11">
        <v>3.9041519165039063E-2</v>
      </c>
      <c r="H43" s="15">
        <f>IF('10 elementos'!$C43=0, IF('10 elementos'!$F43=0, 0, "Indefinido"), ABS('10 elementos'!$C43-'10 elementos'!$F43)/'10 elementos'!$C43)</f>
        <v>1.280016384210998E-5</v>
      </c>
      <c r="I43" s="16">
        <v>0</v>
      </c>
      <c r="J43" s="17">
        <f>'10 elementos'!$D43/'10 elementos'!$G43</f>
        <v>16.084096682788616</v>
      </c>
    </row>
    <row r="44" spans="1:10" ht="14.25" customHeight="1">
      <c r="A44" s="10" t="s">
        <v>136</v>
      </c>
      <c r="B44" s="11" t="s">
        <v>137</v>
      </c>
      <c r="C44" s="12">
        <v>1.1719E-2</v>
      </c>
      <c r="D44" s="13">
        <v>0.708878993988037</v>
      </c>
      <c r="E44" s="11" t="s">
        <v>138</v>
      </c>
      <c r="F44" s="11">
        <v>1.171875E-2</v>
      </c>
      <c r="G44" s="11">
        <v>3.6976814270019531E-2</v>
      </c>
      <c r="H44" s="15">
        <f>IF('10 elementos'!$C44=0, IF('10 elementos'!$F44=0, 0, "Indefinido"), ABS('10 elementos'!$C44-'10 elementos'!$F44)/'10 elementos'!$C44)</f>
        <v>2.1332878231952387E-5</v>
      </c>
      <c r="I44" s="16">
        <v>1</v>
      </c>
      <c r="J44" s="17">
        <f>'10 elementos'!$D44/'10 elementos'!$G44</f>
        <v>19.170905011219144</v>
      </c>
    </row>
    <row r="45" spans="1:10" ht="14.25" customHeight="1">
      <c r="A45" s="10" t="s">
        <v>139</v>
      </c>
      <c r="B45" s="11" t="s">
        <v>140</v>
      </c>
      <c r="C45" s="12">
        <v>1.9531E-2</v>
      </c>
      <c r="D45" s="13">
        <v>0.321293115615845</v>
      </c>
      <c r="E45" s="11" t="s">
        <v>141</v>
      </c>
      <c r="F45" s="11">
        <v>1.953125E-2</v>
      </c>
      <c r="G45" s="11">
        <v>2.352142333984375E-2</v>
      </c>
      <c r="H45" s="15">
        <f>IF('10 elementos'!$C45=0, IF('10 elementos'!$F45=0, 0, "Indefinido"), ABS('10 elementos'!$C45-'10 elementos'!$F45)/'10 elementos'!$C45)</f>
        <v>1.280016384210998E-5</v>
      </c>
      <c r="I45" s="16">
        <v>1</v>
      </c>
      <c r="J45" s="17">
        <f>'10 elementos'!$D45/'10 elementos'!$G45</f>
        <v>13.659594956211494</v>
      </c>
    </row>
    <row r="46" spans="1:10" ht="14.25" customHeight="1">
      <c r="A46" s="10" t="s">
        <v>142</v>
      </c>
      <c r="B46" s="11" t="s">
        <v>143</v>
      </c>
      <c r="C46" s="12">
        <v>5.8589999999999996E-3</v>
      </c>
      <c r="D46" s="13">
        <v>0.483202934265137</v>
      </c>
      <c r="E46" s="11" t="s">
        <v>144</v>
      </c>
      <c r="F46" s="11">
        <v>5.859375E-3</v>
      </c>
      <c r="G46" s="11">
        <v>2.396750450134277E-2</v>
      </c>
      <c r="H46" s="15">
        <f>IF('10 elementos'!$C46=0, IF('10 elementos'!$F46=0, 0, "Indefinido"), ABS('10 elementos'!$C46-'10 elementos'!$F46)/'10 elementos'!$C46)</f>
        <v>6.4004096262224787E-5</v>
      </c>
      <c r="I46" s="16">
        <v>1</v>
      </c>
      <c r="J46" s="17">
        <f>'10 elementos'!$D46/'10 elementos'!$G46</f>
        <v>20.16075283257236</v>
      </c>
    </row>
    <row r="47" spans="1:10" ht="14.25" customHeight="1">
      <c r="A47" s="10" t="s">
        <v>145</v>
      </c>
      <c r="B47" s="11" t="s">
        <v>146</v>
      </c>
      <c r="C47" s="12">
        <v>1.5625E-2</v>
      </c>
      <c r="D47" s="13">
        <v>0.46279954910278298</v>
      </c>
      <c r="E47" s="11" t="s">
        <v>147</v>
      </c>
      <c r="F47" s="11">
        <v>1.5625E-2</v>
      </c>
      <c r="G47" s="11">
        <v>1.5527486801147459E-2</v>
      </c>
      <c r="H47" s="15">
        <f>IF('10 elementos'!$C47=0, IF('10 elementos'!$F47=0, 0, "Indefinido"), ABS('10 elementos'!$C47-'10 elementos'!$F47)/'10 elementos'!$C47)</f>
        <v>0</v>
      </c>
      <c r="I47" s="16">
        <v>1</v>
      </c>
      <c r="J47" s="17">
        <f>'10 elementos'!$D47/'10 elementos'!$G47</f>
        <v>29.805180647043457</v>
      </c>
    </row>
    <row r="48" spans="1:10" ht="14.25" customHeight="1">
      <c r="A48" s="10" t="s">
        <v>148</v>
      </c>
      <c r="B48" s="11" t="s">
        <v>149</v>
      </c>
      <c r="C48" s="12">
        <v>1.9531E-2</v>
      </c>
      <c r="D48" s="13">
        <v>0.391349077224731</v>
      </c>
      <c r="E48" s="11" t="s">
        <v>150</v>
      </c>
      <c r="F48" s="11">
        <v>1.953125E-2</v>
      </c>
      <c r="G48" s="11">
        <v>1.5043497085571291E-2</v>
      </c>
      <c r="H48" s="15">
        <f>IF('10 elementos'!$C48=0, IF('10 elementos'!$F48=0, 0, "Indefinido"), ABS('10 elementos'!$C48-'10 elementos'!$F48)/'10 elementos'!$C48)</f>
        <v>1.280016384210998E-5</v>
      </c>
      <c r="I48" s="16">
        <v>1</v>
      </c>
      <c r="J48" s="17">
        <f>'10 elementos'!$D48/'10 elementos'!$G48</f>
        <v>26.014501481845379</v>
      </c>
    </row>
    <row r="49" spans="1:10" ht="14.25" customHeight="1">
      <c r="A49" s="11" t="s">
        <v>151</v>
      </c>
      <c r="B49" s="11" t="s">
        <v>152</v>
      </c>
      <c r="C49" s="11">
        <v>1.5625E-2</v>
      </c>
      <c r="D49" s="11">
        <v>8.6561203002929701E-2</v>
      </c>
      <c r="E49" s="11" t="s">
        <v>153</v>
      </c>
      <c r="F49" s="11">
        <v>1.5625E-2</v>
      </c>
      <c r="G49" s="11">
        <v>1.1000871658325201E-2</v>
      </c>
      <c r="H49" s="15">
        <f>IF('10 elementos'!$C49=0, IF('10 elementos'!$F49=0, 0, "Indefinido"), ABS('10 elementos'!$C49-'10 elementos'!$F49)/'10 elementos'!$C49)</f>
        <v>0</v>
      </c>
      <c r="I49" s="16">
        <v>1</v>
      </c>
      <c r="J49" s="17">
        <f>'10 elementos'!$D49/'10 elementos'!$G49</f>
        <v>7.8685767538631559</v>
      </c>
    </row>
    <row r="50" spans="1:10" ht="14.25" customHeight="1">
      <c r="A50" s="11" t="s">
        <v>154</v>
      </c>
      <c r="B50" s="11" t="s">
        <v>155</v>
      </c>
      <c r="C50" s="11">
        <v>3.9060000000000002E-3</v>
      </c>
      <c r="D50" s="11">
        <v>8.9889764785766602E-2</v>
      </c>
      <c r="E50" s="11" t="s">
        <v>156</v>
      </c>
      <c r="F50" s="11">
        <v>3.90625E-3</v>
      </c>
      <c r="G50" s="11">
        <v>1.137495040893555E-2</v>
      </c>
      <c r="H50" s="15">
        <f>IF('10 elementos'!$C50=0, IF('10 elementos'!$F50=0, 0, "Indefinido"), ABS('10 elementos'!$C50-'10 elementos'!$F50)/'10 elementos'!$C50)</f>
        <v>6.4004096262113751E-5</v>
      </c>
      <c r="I50" s="16">
        <v>1</v>
      </c>
      <c r="J50" s="17">
        <f>'10 elementos'!$D50/'10 elementos'!$G50</f>
        <v>7.9024313561098278</v>
      </c>
    </row>
    <row r="51" spans="1:10" ht="14.25" customHeight="1">
      <c r="A51" s="11" t="s">
        <v>157</v>
      </c>
      <c r="B51" s="11" t="s">
        <v>158</v>
      </c>
      <c r="C51" s="11">
        <v>2.4414000000000002E-2</v>
      </c>
      <c r="D51" s="11">
        <v>0.111782312393189</v>
      </c>
      <c r="E51" s="11" t="s">
        <v>159</v>
      </c>
      <c r="F51" s="11">
        <v>2.44140625E-2</v>
      </c>
      <c r="G51" s="11">
        <v>1.157689094543457E-2</v>
      </c>
      <c r="H51" s="15">
        <f>IF('10 elementos'!$C51=0, IF('10 elementos'!$F51=0, 0, "Indefinido"), ABS('10 elementos'!$C51-'10 elementos'!$F51)/'10 elementos'!$C51)</f>
        <v>2.5600065535482827E-6</v>
      </c>
      <c r="I51" s="16">
        <v>1</v>
      </c>
      <c r="J51" s="17">
        <f>'10 elementos'!$D51/'10 elementos'!$G51</f>
        <v>9.655641823012175</v>
      </c>
    </row>
    <row r="52" spans="1:10" ht="14.25" customHeight="1">
      <c r="A52" s="11" t="s">
        <v>160</v>
      </c>
      <c r="B52" s="11" t="s">
        <v>161</v>
      </c>
      <c r="C52" s="11">
        <v>2.4414000000000002E-2</v>
      </c>
      <c r="D52" s="11">
        <v>0.12887454032897899</v>
      </c>
      <c r="E52" s="11" t="s">
        <v>162</v>
      </c>
      <c r="F52" s="11">
        <v>2.44140625E-2</v>
      </c>
      <c r="G52" s="11">
        <v>1.355338096618652E-2</v>
      </c>
      <c r="H52" s="15">
        <f>IF('10 elementos'!$C52=0, IF('10 elementos'!$F52=0, 0, "Indefinido"), ABS('10 elementos'!$C52-'10 elementos'!$F52)/'10 elementos'!$C52)</f>
        <v>2.5600065535482827E-6</v>
      </c>
      <c r="I52" s="16">
        <v>1</v>
      </c>
      <c r="J52" s="19">
        <f>'10 elementos'!$D52/'10 elementos'!$G52</f>
        <v>9.5086636058190948</v>
      </c>
    </row>
    <row r="53" spans="1:10" ht="14.25" customHeight="1">
      <c r="E53" s="3"/>
      <c r="F53" s="11"/>
      <c r="G53" s="11"/>
      <c r="H53" s="19"/>
      <c r="I53" s="19"/>
      <c r="J53" s="19"/>
    </row>
    <row r="54" spans="1:10" ht="14.25" customHeight="1"/>
    <row r="55" spans="1:10" ht="14.25" customHeight="1"/>
    <row r="56" spans="1:10" ht="14.25" customHeight="1"/>
    <row r="57" spans="1:10" ht="14.25" customHeight="1"/>
    <row r="58" spans="1:10" ht="14.25" customHeight="1"/>
    <row r="59" spans="1:10" ht="14.25" customHeight="1"/>
    <row r="60" spans="1:10" ht="14.25" customHeight="1"/>
    <row r="61" spans="1:10" ht="14.25" customHeight="1"/>
    <row r="62" spans="1:10" ht="14.25" customHeight="1"/>
    <row r="63" spans="1:10" ht="14.25" customHeight="1"/>
    <row r="64" spans="1:10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D1"/>
    <mergeCell ref="E1:G1"/>
    <mergeCell ref="H1:I1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K3" sqref="K3"/>
    </sheetView>
  </sheetViews>
  <sheetFormatPr baseColWidth="10" defaultColWidth="14.44140625" defaultRowHeight="15" customHeight="1"/>
  <cols>
    <col min="1" max="1" width="48.5546875" customWidth="1"/>
    <col min="2" max="2" width="21.33203125" customWidth="1"/>
    <col min="3" max="3" width="11.6640625" customWidth="1"/>
    <col min="4" max="4" width="17.6640625" customWidth="1"/>
    <col min="5" max="5" width="15.88671875" customWidth="1"/>
    <col min="6" max="6" width="15.109375" customWidth="1"/>
    <col min="7" max="7" width="11.6640625" customWidth="1"/>
    <col min="8" max="8" width="19.33203125" customWidth="1"/>
    <col min="9" max="9" width="11.6640625" customWidth="1"/>
    <col min="10" max="10" width="20.44140625" customWidth="1"/>
    <col min="11" max="11" width="19.109375" customWidth="1"/>
    <col min="12" max="12" width="19" customWidth="1"/>
    <col min="13" max="13" width="24.33203125" customWidth="1"/>
    <col min="14" max="23" width="10.6640625" customWidth="1"/>
  </cols>
  <sheetData>
    <row r="1" spans="1:13" ht="21.6" customHeight="1">
      <c r="A1" s="20"/>
      <c r="B1" s="54" t="s">
        <v>0</v>
      </c>
      <c r="C1" s="46"/>
      <c r="D1" s="47"/>
      <c r="E1" s="48" t="s">
        <v>626</v>
      </c>
      <c r="F1" s="46"/>
      <c r="G1" s="47"/>
      <c r="H1" s="49" t="s">
        <v>624</v>
      </c>
      <c r="I1" s="50"/>
      <c r="J1" s="51"/>
      <c r="K1" s="52" t="s">
        <v>1</v>
      </c>
      <c r="L1" s="53"/>
      <c r="M1" s="2" t="s">
        <v>2</v>
      </c>
    </row>
    <row r="2" spans="1:13" ht="14.25" customHeight="1">
      <c r="A2" s="21" t="s">
        <v>3</v>
      </c>
      <c r="B2" s="22" t="s">
        <v>4</v>
      </c>
      <c r="C2" s="22" t="s">
        <v>5</v>
      </c>
      <c r="D2" s="22" t="s">
        <v>6</v>
      </c>
      <c r="E2" s="23" t="s">
        <v>7</v>
      </c>
      <c r="F2" s="23" t="s">
        <v>8</v>
      </c>
      <c r="G2" s="24" t="s">
        <v>9</v>
      </c>
      <c r="H2" s="25" t="s">
        <v>7</v>
      </c>
      <c r="I2" s="26" t="s">
        <v>8</v>
      </c>
      <c r="J2" s="27" t="s">
        <v>163</v>
      </c>
      <c r="K2" s="9" t="s">
        <v>11</v>
      </c>
      <c r="L2" s="9" t="s">
        <v>12</v>
      </c>
      <c r="M2" s="9" t="s">
        <v>13</v>
      </c>
    </row>
    <row r="3" spans="1:13" ht="27.75" customHeight="1">
      <c r="A3" s="12" t="s">
        <v>164</v>
      </c>
      <c r="B3" s="12" t="s">
        <v>165</v>
      </c>
      <c r="C3" s="12">
        <v>0</v>
      </c>
      <c r="D3" s="12">
        <v>28.802976608276399</v>
      </c>
      <c r="E3" s="12" t="s">
        <v>166</v>
      </c>
      <c r="F3" s="12">
        <v>0</v>
      </c>
      <c r="G3" s="12">
        <v>3.1941039562225302</v>
      </c>
      <c r="H3" s="12" t="s">
        <v>167</v>
      </c>
      <c r="I3" s="12">
        <v>0</v>
      </c>
      <c r="J3" s="12">
        <v>1.8886198997497561</v>
      </c>
      <c r="K3" s="12">
        <f>IF('15A elementos'!$F3=0, IF('15A elementos'!$I3=0, 0, "Indefinido"), ABS('15A elementos'!$F3-'15A elementos'!$I3)/'15A elementos'!$F3)</f>
        <v>0</v>
      </c>
      <c r="L3" s="12">
        <v>1</v>
      </c>
      <c r="M3" s="12">
        <f>'15A elementos'!$G3/'15A elementos'!$J3</f>
        <v>1.6912370544468751</v>
      </c>
    </row>
    <row r="4" spans="1:13" ht="14.25" customHeight="1">
      <c r="A4" s="12" t="s">
        <v>168</v>
      </c>
      <c r="B4" s="12" t="s">
        <v>169</v>
      </c>
      <c r="C4" s="12">
        <v>0</v>
      </c>
      <c r="D4" s="12">
        <v>28.398227453231801</v>
      </c>
      <c r="E4" s="12" t="s">
        <v>170</v>
      </c>
      <c r="F4" s="12">
        <v>0</v>
      </c>
      <c r="G4" s="12">
        <v>1.6307408809661901</v>
      </c>
      <c r="H4" s="12" t="s">
        <v>171</v>
      </c>
      <c r="I4" s="12">
        <v>0</v>
      </c>
      <c r="J4" s="12">
        <v>0.1149923801422119</v>
      </c>
      <c r="K4" s="12">
        <f>IF('15A elementos'!$F4=0, IF('15A elementos'!$I4=0, 0, "Indefinido"), ABS('15A elementos'!$F4-'15A elementos'!$I4)/'15A elementos'!$F4)</f>
        <v>0</v>
      </c>
      <c r="L4" s="12">
        <v>1</v>
      </c>
      <c r="M4" s="12">
        <f>'15A elementos'!$G4/'15A elementos'!$J4</f>
        <v>14.18129513407272</v>
      </c>
    </row>
    <row r="5" spans="1:13" ht="14.25" customHeight="1">
      <c r="A5" s="12" t="s">
        <v>172</v>
      </c>
      <c r="B5" s="12" t="s">
        <v>173</v>
      </c>
      <c r="C5" s="12">
        <v>0</v>
      </c>
      <c r="D5" s="12">
        <v>39.622644662857098</v>
      </c>
      <c r="E5" s="12" t="s">
        <v>174</v>
      </c>
      <c r="F5" s="12">
        <v>0</v>
      </c>
      <c r="G5" s="12">
        <v>1.5684549808502199</v>
      </c>
      <c r="H5" s="12" t="s">
        <v>175</v>
      </c>
      <c r="I5" s="12">
        <v>0</v>
      </c>
      <c r="J5" s="12">
        <v>1.6970784664154051</v>
      </c>
      <c r="K5" s="12">
        <f>IF('15A elementos'!$F5=0, IF('15A elementos'!$I5=0, 0, "Indefinido"), ABS('15A elementos'!$F5-'15A elementos'!$I5)/'15A elementos'!$F5)</f>
        <v>0</v>
      </c>
      <c r="L5" s="12">
        <v>1</v>
      </c>
      <c r="M5" s="12">
        <f>'15A elementos'!$G5/'15A elementos'!$J5</f>
        <v>0.92420887536398622</v>
      </c>
    </row>
    <row r="6" spans="1:13" ht="14.25" customHeight="1">
      <c r="A6" s="12" t="s">
        <v>176</v>
      </c>
      <c r="B6" s="12" t="s">
        <v>177</v>
      </c>
      <c r="C6" s="12">
        <v>0</v>
      </c>
      <c r="D6" s="12">
        <v>8.6746931076049805</v>
      </c>
      <c r="E6" s="12" t="s">
        <v>178</v>
      </c>
      <c r="F6" s="12">
        <v>0</v>
      </c>
      <c r="G6" s="12">
        <v>1.6495842933654801</v>
      </c>
      <c r="H6" s="12" t="s">
        <v>179</v>
      </c>
      <c r="I6" s="12">
        <v>0</v>
      </c>
      <c r="J6" s="12">
        <v>0.23936653137207031</v>
      </c>
      <c r="K6" s="12">
        <f>IF('15A elementos'!$F6=0, IF('15A elementos'!$I6=0, 0, "Indefinido"), ABS('15A elementos'!$F6-'15A elementos'!$I6)/'15A elementos'!$F6)</f>
        <v>0</v>
      </c>
      <c r="L6" s="12">
        <v>1</v>
      </c>
      <c r="M6" s="12">
        <f>'15A elementos'!$G6/'15A elementos'!$J6</f>
        <v>6.8914575647226695</v>
      </c>
    </row>
    <row r="7" spans="1:13" ht="14.25" customHeight="1">
      <c r="A7" s="12" t="s">
        <v>180</v>
      </c>
      <c r="B7" s="12" t="s">
        <v>181</v>
      </c>
      <c r="C7" s="12">
        <v>0</v>
      </c>
      <c r="D7" s="12">
        <v>8.1382195949554408</v>
      </c>
      <c r="E7" s="12" t="s">
        <v>182</v>
      </c>
      <c r="F7" s="12">
        <v>0</v>
      </c>
      <c r="G7" s="12">
        <v>1.4506099224090601</v>
      </c>
      <c r="H7" s="12" t="s">
        <v>183</v>
      </c>
      <c r="I7" s="12">
        <v>0</v>
      </c>
      <c r="J7" s="12">
        <v>1.91222620010376</v>
      </c>
      <c r="K7" s="12">
        <f>IF('15A elementos'!$F7=0, IF('15A elementos'!$I7=0, 0, "Indefinido"), ABS('15A elementos'!$F7-'15A elementos'!$I7)/'15A elementos'!$F7)</f>
        <v>0</v>
      </c>
      <c r="L7" s="12">
        <v>1</v>
      </c>
      <c r="M7" s="12">
        <f>'15A elementos'!$G7/'15A elementos'!$J7</f>
        <v>0.75859745166672643</v>
      </c>
    </row>
    <row r="8" spans="1:13" ht="14.25" customHeight="1">
      <c r="A8" s="12" t="s">
        <v>184</v>
      </c>
      <c r="B8" s="12" t="s">
        <v>185</v>
      </c>
      <c r="C8" s="12">
        <v>0</v>
      </c>
      <c r="D8" s="12">
        <v>54.567577123642003</v>
      </c>
      <c r="E8" s="12" t="s">
        <v>186</v>
      </c>
      <c r="F8" s="12">
        <v>0</v>
      </c>
      <c r="G8" s="12">
        <v>0.97051143646240201</v>
      </c>
      <c r="H8" s="12" t="s">
        <v>187</v>
      </c>
      <c r="I8" s="12">
        <v>0</v>
      </c>
      <c r="J8" s="12">
        <v>0.58646607398986816</v>
      </c>
      <c r="K8" s="12">
        <f>IF('15A elementos'!$F8=0, IF('15A elementos'!$I8=0, 0, "Indefinido"), ABS('15A elementos'!$F8-'15A elementos'!$I8)/'15A elementos'!$F8)</f>
        <v>0</v>
      </c>
      <c r="L8" s="12">
        <v>1</v>
      </c>
      <c r="M8" s="12">
        <f>'15A elementos'!$G8/'15A elementos'!$J8</f>
        <v>1.6548466816840435</v>
      </c>
    </row>
    <row r="9" spans="1:13" ht="14.25" customHeight="1">
      <c r="A9" s="12" t="s">
        <v>188</v>
      </c>
      <c r="B9" s="12" t="s">
        <v>189</v>
      </c>
      <c r="C9" s="12">
        <v>0</v>
      </c>
      <c r="D9" s="12">
        <v>9.1506528854370099</v>
      </c>
      <c r="E9" s="12" t="s">
        <v>190</v>
      </c>
      <c r="F9" s="12">
        <v>0</v>
      </c>
      <c r="G9" s="12">
        <v>0.88901185989379905</v>
      </c>
      <c r="H9" s="12" t="s">
        <v>191</v>
      </c>
      <c r="I9" s="12">
        <v>0</v>
      </c>
      <c r="J9" s="12">
        <v>1.754148483276367</v>
      </c>
      <c r="K9" s="12">
        <f>IF('15A elementos'!$F9=0, IF('15A elementos'!$I9=0, 0, "Indefinido"), ABS('15A elementos'!$F9-'15A elementos'!$I9)/'15A elementos'!$F9)</f>
        <v>0</v>
      </c>
      <c r="L9" s="12">
        <v>1</v>
      </c>
      <c r="M9" s="12">
        <f>'15A elementos'!$G9/'15A elementos'!$J9</f>
        <v>0.50680536361056427</v>
      </c>
    </row>
    <row r="10" spans="1:13" ht="14.25" customHeight="1">
      <c r="A10" s="12" t="s">
        <v>192</v>
      </c>
      <c r="B10" s="12" t="s">
        <v>193</v>
      </c>
      <c r="C10" s="12">
        <v>0</v>
      </c>
      <c r="D10" s="12">
        <v>9.3569090366363508</v>
      </c>
      <c r="E10" s="12" t="s">
        <v>194</v>
      </c>
      <c r="F10" s="12">
        <v>0</v>
      </c>
      <c r="G10" s="12">
        <v>0.85712122917175304</v>
      </c>
      <c r="H10" s="12" t="s">
        <v>195</v>
      </c>
      <c r="I10" s="12">
        <v>0</v>
      </c>
      <c r="J10" s="12">
        <v>0.117152214050293</v>
      </c>
      <c r="K10" s="12">
        <f>IF('15A elementos'!$F10=0, IF('15A elementos'!$I10=0, 0, "Indefinido"), ABS('15A elementos'!$F10-'15A elementos'!$I10)/'15A elementos'!$F10)</f>
        <v>0</v>
      </c>
      <c r="L10" s="12">
        <v>1</v>
      </c>
      <c r="M10" s="12">
        <f>'15A elementos'!$G10/'15A elementos'!$J10</f>
        <v>7.3163041443142864</v>
      </c>
    </row>
    <row r="11" spans="1:13" ht="14.25" customHeight="1">
      <c r="A11" s="12" t="s">
        <v>196</v>
      </c>
      <c r="B11" s="12" t="s">
        <v>197</v>
      </c>
      <c r="C11" s="12">
        <v>0</v>
      </c>
      <c r="D11" s="12">
        <v>8.58219313621521</v>
      </c>
      <c r="E11" s="12" t="s">
        <v>198</v>
      </c>
      <c r="F11" s="12">
        <v>0</v>
      </c>
      <c r="G11" s="12">
        <v>0.94633245468139604</v>
      </c>
      <c r="H11" s="12" t="s">
        <v>199</v>
      </c>
      <c r="I11" s="12">
        <v>0</v>
      </c>
      <c r="J11" s="12">
        <v>1.6832728385925291</v>
      </c>
      <c r="K11" s="12">
        <f>IF('15A elementos'!$F11=0, IF('15A elementos'!$I11=0, 0, "Indefinido"), ABS('15A elementos'!$F11-'15A elementos'!$I11)/'15A elementos'!$F11)</f>
        <v>0</v>
      </c>
      <c r="L11" s="12">
        <v>1</v>
      </c>
      <c r="M11" s="12">
        <f>'15A elementos'!$G11/'15A elementos'!$J11</f>
        <v>0.56219789982037205</v>
      </c>
    </row>
    <row r="12" spans="1:13" ht="14.25" customHeight="1">
      <c r="A12" s="12" t="s">
        <v>200</v>
      </c>
      <c r="B12" s="12" t="s">
        <v>201</v>
      </c>
      <c r="C12" s="12">
        <v>0</v>
      </c>
      <c r="D12" s="12">
        <v>9.0360879898071307</v>
      </c>
      <c r="E12" s="12" t="s">
        <v>202</v>
      </c>
      <c r="F12" s="12">
        <v>0</v>
      </c>
      <c r="G12" s="12">
        <v>0.42462491989135698</v>
      </c>
      <c r="H12" s="12" t="s">
        <v>203</v>
      </c>
      <c r="I12" s="12">
        <v>0</v>
      </c>
      <c r="J12" s="12">
        <v>0.119441032409668</v>
      </c>
      <c r="K12" s="12">
        <f>IF('15A elementos'!$F12=0, IF('15A elementos'!$I12=0, 0, "Indefinido"), ABS('15A elementos'!$F12-'15A elementos'!$I12)/'15A elementos'!$F12)</f>
        <v>0</v>
      </c>
      <c r="L12" s="12">
        <v>1</v>
      </c>
      <c r="M12" s="12">
        <f>'15A elementos'!$G12/'15A elementos'!$J12</f>
        <v>3.5551008838817295</v>
      </c>
    </row>
    <row r="13" spans="1:13" ht="14.25" customHeight="1">
      <c r="A13" s="12" t="s">
        <v>204</v>
      </c>
      <c r="B13" s="12" t="s">
        <v>205</v>
      </c>
      <c r="C13" s="12">
        <v>0</v>
      </c>
      <c r="D13" s="12">
        <v>3.4997115135192902</v>
      </c>
      <c r="E13" s="12" t="s">
        <v>206</v>
      </c>
      <c r="F13" s="12">
        <v>0</v>
      </c>
      <c r="G13" s="12">
        <v>0.52708482742309604</v>
      </c>
      <c r="H13" s="12" t="s">
        <v>207</v>
      </c>
      <c r="I13" s="12">
        <v>0</v>
      </c>
      <c r="J13" s="12">
        <v>1.849624395370483</v>
      </c>
      <c r="K13" s="12">
        <f>IF('15A elementos'!$F13=0, IF('15A elementos'!$I13=0, 0, "Indefinido"), ABS('15A elementos'!$F13-'15A elementos'!$I13)/'15A elementos'!$F13)</f>
        <v>0</v>
      </c>
      <c r="L13" s="12">
        <v>1</v>
      </c>
      <c r="M13" s="12">
        <f>'15A elementos'!$G13/'15A elementos'!$J13</f>
        <v>0.28496857456160446</v>
      </c>
    </row>
    <row r="14" spans="1:13" ht="14.25" customHeight="1">
      <c r="A14" s="12" t="s">
        <v>208</v>
      </c>
      <c r="B14" s="12" t="s">
        <v>209</v>
      </c>
      <c r="C14" s="12">
        <v>0</v>
      </c>
      <c r="D14" s="12">
        <v>10.1150543689728</v>
      </c>
      <c r="E14" s="12" t="s">
        <v>210</v>
      </c>
      <c r="F14" s="12">
        <v>0</v>
      </c>
      <c r="G14" s="12">
        <v>0.697062969207764</v>
      </c>
      <c r="H14" s="12" t="s">
        <v>211</v>
      </c>
      <c r="I14" s="12">
        <v>0</v>
      </c>
      <c r="J14" s="12">
        <v>0.58417487144470215</v>
      </c>
      <c r="K14" s="12">
        <f>IF('15A elementos'!$F14=0, IF('15A elementos'!$I14=0, 0, "Indefinido"), ABS('15A elementos'!$F14-'15A elementos'!$I14)/'15A elementos'!$F14)</f>
        <v>0</v>
      </c>
      <c r="L14" s="12">
        <v>1</v>
      </c>
      <c r="M14" s="12">
        <f>'15A elementos'!$G14/'15A elementos'!$J14</f>
        <v>1.1932436728815163</v>
      </c>
    </row>
    <row r="15" spans="1:13" ht="14.25" customHeight="1">
      <c r="A15" s="12" t="s">
        <v>212</v>
      </c>
      <c r="B15" s="12" t="s">
        <v>213</v>
      </c>
      <c r="C15" s="12">
        <v>0</v>
      </c>
      <c r="D15" s="12">
        <v>8.7561690807342494</v>
      </c>
      <c r="E15" s="12" t="s">
        <v>214</v>
      </c>
      <c r="F15" s="12">
        <v>0</v>
      </c>
      <c r="G15" s="12">
        <v>0.36487293243408198</v>
      </c>
      <c r="H15" s="12" t="s">
        <v>215</v>
      </c>
      <c r="I15" s="12">
        <v>0</v>
      </c>
      <c r="J15" s="12">
        <v>2.183775663375854</v>
      </c>
      <c r="K15" s="12">
        <f>IF('15A elementos'!$F15=0, IF('15A elementos'!$I15=0, 0, "Indefinido"), ABS('15A elementos'!$F15-'15A elementos'!$I15)/'15A elementos'!$F15)</f>
        <v>0</v>
      </c>
      <c r="L15" s="12">
        <v>1</v>
      </c>
      <c r="M15" s="12">
        <f>'15A elementos'!$G15/'15A elementos'!$J15</f>
        <v>0.16708352352916708</v>
      </c>
    </row>
    <row r="16" spans="1:13" ht="14.25" customHeight="1">
      <c r="A16" s="12" t="s">
        <v>216</v>
      </c>
      <c r="B16" s="12" t="s">
        <v>217</v>
      </c>
      <c r="C16" s="12">
        <v>0</v>
      </c>
      <c r="D16" s="12">
        <v>3.2724850177764901</v>
      </c>
      <c r="E16" s="12" t="s">
        <v>218</v>
      </c>
      <c r="F16" s="12">
        <v>0</v>
      </c>
      <c r="G16" s="12">
        <v>0.39272904396057101</v>
      </c>
      <c r="H16" s="12" t="s">
        <v>219</v>
      </c>
      <c r="I16" s="12">
        <v>0</v>
      </c>
      <c r="J16" s="12">
        <v>0.1136806011199951</v>
      </c>
      <c r="K16" s="12">
        <f>IF('15A elementos'!$F16=0, IF('15A elementos'!$I16=0, 0, "Indefinido"), ABS('15A elementos'!$F16-'15A elementos'!$I16)/'15A elementos'!$F16)</f>
        <v>0</v>
      </c>
      <c r="L16" s="12">
        <v>0</v>
      </c>
      <c r="M16" s="12">
        <f>'15A elementos'!$G16/'15A elementos'!$J16</f>
        <v>3.4546707185866077</v>
      </c>
    </row>
    <row r="17" spans="1:13" ht="14.25" customHeight="1">
      <c r="A17" s="12" t="s">
        <v>220</v>
      </c>
      <c r="B17" s="12" t="s">
        <v>221</v>
      </c>
      <c r="C17" s="12">
        <v>0</v>
      </c>
      <c r="D17" s="12">
        <v>3.4498996734619101</v>
      </c>
      <c r="E17" s="12" t="s">
        <v>222</v>
      </c>
      <c r="F17" s="12">
        <v>0</v>
      </c>
      <c r="G17" s="12">
        <v>0.33213543891906699</v>
      </c>
      <c r="H17" s="12" t="s">
        <v>223</v>
      </c>
      <c r="I17" s="12">
        <v>0</v>
      </c>
      <c r="J17" s="12">
        <v>1.6818544864654541</v>
      </c>
      <c r="K17" s="12">
        <f>IF('15A elementos'!$F17=0, IF('15A elementos'!$I17=0, 0, "Indefinido"), ABS('15A elementos'!$F17-'15A elementos'!$I17)/'15A elementos'!$F17)</f>
        <v>0</v>
      </c>
      <c r="L17" s="12">
        <v>1</v>
      </c>
      <c r="M17" s="12">
        <f>'15A elementos'!$G17/'15A elementos'!$J17</f>
        <v>0.19748167370714398</v>
      </c>
    </row>
    <row r="18" spans="1:13" ht="14.25" customHeight="1">
      <c r="A18" s="12" t="s">
        <v>224</v>
      </c>
      <c r="B18" s="12" t="s">
        <v>225</v>
      </c>
      <c r="C18" s="12">
        <v>0</v>
      </c>
      <c r="D18" s="12">
        <v>3.5006051063537602</v>
      </c>
      <c r="E18" s="12" t="s">
        <v>226</v>
      </c>
      <c r="F18" s="12">
        <v>0</v>
      </c>
      <c r="G18" s="12">
        <v>0.25630664825439398</v>
      </c>
      <c r="H18" s="12" t="s">
        <v>227</v>
      </c>
      <c r="I18" s="12">
        <v>0</v>
      </c>
      <c r="J18" s="12">
        <v>0.58104157447814941</v>
      </c>
      <c r="K18" s="12">
        <f>IF('15A elementos'!$F18=0, IF('15A elementos'!$I18=0, 0, "Indefinido"), ABS('15A elementos'!$F18-'15A elementos'!$I18)/'15A elementos'!$F18)</f>
        <v>0</v>
      </c>
      <c r="L18" s="12">
        <v>1</v>
      </c>
      <c r="M18" s="12">
        <f>'15A elementos'!$G18/'15A elementos'!$J18</f>
        <v>0.44111585041843271</v>
      </c>
    </row>
    <row r="19" spans="1:13" ht="14.25" customHeight="1">
      <c r="A19" s="12" t="s">
        <v>228</v>
      </c>
      <c r="B19" s="12" t="s">
        <v>229</v>
      </c>
      <c r="C19" s="12">
        <v>0</v>
      </c>
      <c r="D19" s="12">
        <v>71.456020116806002</v>
      </c>
      <c r="E19" s="12" t="s">
        <v>230</v>
      </c>
      <c r="F19" s="12">
        <v>0</v>
      </c>
      <c r="G19" s="12">
        <v>0.428892612457275</v>
      </c>
      <c r="H19" s="12" t="s">
        <v>231</v>
      </c>
      <c r="I19" s="12">
        <v>0</v>
      </c>
      <c r="J19" s="12">
        <v>1.6592803001403811</v>
      </c>
      <c r="K19" s="12">
        <f>IF('15A elementos'!$F19=0, IF('15A elementos'!$I19=0, 0, "Indefinido"), ABS('15A elementos'!$F19-'15A elementos'!$I19)/'15A elementos'!$F19)</f>
        <v>0</v>
      </c>
      <c r="L19" s="12">
        <v>1</v>
      </c>
      <c r="M19" s="12">
        <f>'15A elementos'!$G19/'15A elementos'!$J19</f>
        <v>0.25848110920197698</v>
      </c>
    </row>
    <row r="20" spans="1:13" ht="14.25" customHeight="1">
      <c r="A20" s="12" t="s">
        <v>232</v>
      </c>
      <c r="B20" s="12"/>
      <c r="C20" s="12"/>
      <c r="D20" s="12"/>
      <c r="E20" s="12" t="s">
        <v>233</v>
      </c>
      <c r="F20" s="12">
        <v>4.7147274017333998E-5</v>
      </c>
      <c r="G20" s="12">
        <v>0.524394512176514</v>
      </c>
      <c r="H20" s="12" t="s">
        <v>234</v>
      </c>
      <c r="I20" s="12">
        <v>4.7147274017333978E-5</v>
      </c>
      <c r="J20" s="12">
        <v>0.48621320724487299</v>
      </c>
      <c r="K20" s="12">
        <f>IF('15A elementos'!$F20=0, IF('15A elementos'!$I20=0, 0, "Indefinido"), ABS('15A elementos'!$F20-'15A elementos'!$I20)/'15A elementos'!$F20)</f>
        <v>4.3117637568248799E-16</v>
      </c>
      <c r="L20" s="12">
        <v>1</v>
      </c>
      <c r="M20" s="12">
        <f>'15A elementos'!$G20/'15A elementos'!$J20</f>
        <v>1.078527905788482</v>
      </c>
    </row>
    <row r="21" spans="1:13" ht="14.25" customHeight="1">
      <c r="A21" s="12" t="s">
        <v>235</v>
      </c>
      <c r="B21" s="12" t="s">
        <v>236</v>
      </c>
      <c r="C21" s="12">
        <v>0</v>
      </c>
      <c r="D21" s="12">
        <v>9.7167048454284703</v>
      </c>
      <c r="E21" s="12" t="s">
        <v>237</v>
      </c>
      <c r="F21" s="12">
        <v>0</v>
      </c>
      <c r="G21" s="12">
        <v>0.635092973709106</v>
      </c>
      <c r="H21" s="12" t="s">
        <v>238</v>
      </c>
      <c r="I21" s="12">
        <v>0</v>
      </c>
      <c r="J21" s="12">
        <v>1.76085352897644</v>
      </c>
      <c r="K21" s="12">
        <f>IF('15A elementos'!$F21=0, IF('15A elementos'!$I21=0, 0, "Indefinido"), ABS('15A elementos'!$F21-'15A elementos'!$I21)/'15A elementos'!$F21)</f>
        <v>0</v>
      </c>
      <c r="L21" s="12">
        <v>1</v>
      </c>
      <c r="M21" s="12">
        <f>'15A elementos'!$G21/'15A elementos'!$J21</f>
        <v>0.36067336848754072</v>
      </c>
    </row>
    <row r="22" spans="1:13" ht="14.25" customHeight="1">
      <c r="A22" s="12" t="s">
        <v>239</v>
      </c>
      <c r="B22" s="12"/>
      <c r="C22" s="12"/>
      <c r="D22" s="12"/>
      <c r="E22" s="12" t="s">
        <v>240</v>
      </c>
      <c r="F22" s="12">
        <v>1.33782625198364E-3</v>
      </c>
      <c r="G22" s="12">
        <v>0.18634676933288599</v>
      </c>
      <c r="H22" s="12" t="s">
        <v>241</v>
      </c>
      <c r="I22" s="12">
        <v>1.337826251983643E-3</v>
      </c>
      <c r="J22" s="12">
        <v>0.49222517013549799</v>
      </c>
      <c r="K22" s="12">
        <f>IF('15A elementos'!$F22=0, IF('15A elementos'!$I22=0, 0, "Indefinido"), ABS('15A elementos'!$F22-'15A elementos'!$I22)/'15A elementos'!$F22)</f>
        <v>2.269178137637963E-15</v>
      </c>
      <c r="L22" s="12">
        <v>1</v>
      </c>
      <c r="M22" s="12">
        <f>'15A elementos'!$G22/'15A elementos'!$J22</f>
        <v>0.37858033404018959</v>
      </c>
    </row>
    <row r="23" spans="1:13" ht="14.25" customHeight="1">
      <c r="A23" s="12" t="s">
        <v>242</v>
      </c>
      <c r="B23" s="12"/>
      <c r="C23" s="12"/>
      <c r="D23" s="12"/>
      <c r="E23" s="12" t="s">
        <v>243</v>
      </c>
      <c r="F23" s="12">
        <v>4.7147274017333998E-5</v>
      </c>
      <c r="G23" s="12">
        <v>0.22196912765502899</v>
      </c>
      <c r="H23" s="12" t="s">
        <v>244</v>
      </c>
      <c r="I23" s="12">
        <v>4.7147274017333978E-5</v>
      </c>
      <c r="J23" s="12">
        <v>2.1477293968200679</v>
      </c>
      <c r="K23" s="12">
        <f>IF('15A elementos'!$F23=0, IF('15A elementos'!$I23=0, 0, "Indefinido"), ABS('15A elementos'!$F23-'15A elementos'!$I23)/'15A elementos'!$F23)</f>
        <v>4.3117637568248799E-16</v>
      </c>
      <c r="L23" s="12">
        <v>1</v>
      </c>
      <c r="M23" s="12">
        <f>'15A elementos'!$G23/'15A elementos'!$J23</f>
        <v>0.10335060272661765</v>
      </c>
    </row>
    <row r="24" spans="1:13" ht="14.25" customHeight="1">
      <c r="A24" s="12" t="s">
        <v>245</v>
      </c>
      <c r="B24" s="12" t="s">
        <v>246</v>
      </c>
      <c r="C24" s="12">
        <v>0</v>
      </c>
      <c r="D24" s="12">
        <v>9.6454238891601598</v>
      </c>
      <c r="E24" s="12" t="s">
        <v>247</v>
      </c>
      <c r="F24" s="12">
        <v>0</v>
      </c>
      <c r="G24" s="12">
        <v>0.52536273002624501</v>
      </c>
      <c r="H24" s="12" t="s">
        <v>248</v>
      </c>
      <c r="I24" s="12">
        <v>0</v>
      </c>
      <c r="J24" s="12">
        <v>9.5818042755126953E-2</v>
      </c>
      <c r="K24" s="12">
        <f>IF('15A elementos'!$F24=0, IF('15A elementos'!$I24=0, 0, "Indefinido"), ABS('15A elementos'!$F24-'15A elementos'!$I24)/'15A elementos'!$F24)</f>
        <v>0</v>
      </c>
      <c r="L24" s="12">
        <v>0</v>
      </c>
      <c r="M24" s="12">
        <f>'15A elementos'!$G24/'15A elementos'!$J24</f>
        <v>5.4829206996939446</v>
      </c>
    </row>
    <row r="25" spans="1:13" ht="14.25" customHeight="1">
      <c r="A25" s="12" t="s">
        <v>249</v>
      </c>
      <c r="B25" s="12" t="s">
        <v>250</v>
      </c>
      <c r="C25" s="12">
        <v>0</v>
      </c>
      <c r="D25" s="12">
        <v>10.052285671234101</v>
      </c>
      <c r="E25" s="12" t="s">
        <v>251</v>
      </c>
      <c r="F25" s="12">
        <v>0</v>
      </c>
      <c r="G25" s="12">
        <v>0.38019418716430697</v>
      </c>
      <c r="H25" s="12" t="s">
        <v>252</v>
      </c>
      <c r="I25" s="12">
        <v>0</v>
      </c>
      <c r="J25" s="12">
        <v>1.6353416442871089</v>
      </c>
      <c r="K25" s="12">
        <f>IF('15A elementos'!$F25=0, IF('15A elementos'!$I25=0, 0, "Indefinido"), ABS('15A elementos'!$F25-'15A elementos'!$I25)/'15A elementos'!$F25)</f>
        <v>0</v>
      </c>
      <c r="L25" s="12">
        <v>1</v>
      </c>
      <c r="M25" s="12">
        <f>'15A elementos'!$G25/'15A elementos'!$J25</f>
        <v>0.23248609151028146</v>
      </c>
    </row>
    <row r="26" spans="1:13" ht="14.25" customHeight="1">
      <c r="A26" s="12" t="s">
        <v>253</v>
      </c>
      <c r="B26" s="12"/>
      <c r="C26" s="12"/>
      <c r="D26" s="12"/>
      <c r="E26" s="12" t="s">
        <v>254</v>
      </c>
      <c r="F26" s="12">
        <v>4.1897892951965297E-3</v>
      </c>
      <c r="G26" s="12">
        <v>0.34896326065063499</v>
      </c>
      <c r="H26" s="12" t="s">
        <v>255</v>
      </c>
      <c r="I26" s="12">
        <v>4.1897892951965332E-3</v>
      </c>
      <c r="J26" s="12">
        <v>0.47688817977905268</v>
      </c>
      <c r="K26" s="12">
        <f>IF('15A elementos'!$F26=0, IF('15A elementos'!$I26=0, 0, "Indefinido"), ABS('15A elementos'!$F26-'15A elementos'!$I26)/'15A elementos'!$F26)</f>
        <v>8.2807194049859097E-16</v>
      </c>
      <c r="L26" s="12">
        <v>1</v>
      </c>
      <c r="M26" s="12">
        <f>'15A elementos'!$G26/'15A elementos'!$J26</f>
        <v>0.73175070267481435</v>
      </c>
    </row>
    <row r="27" spans="1:13" ht="14.25" customHeight="1">
      <c r="A27" s="12" t="s">
        <v>256</v>
      </c>
      <c r="B27" s="12"/>
      <c r="C27" s="12"/>
      <c r="D27" s="12"/>
      <c r="E27" s="12" t="s">
        <v>257</v>
      </c>
      <c r="F27" s="12">
        <v>1.33782625198364E-3</v>
      </c>
      <c r="G27" s="12">
        <v>0.165135383605957</v>
      </c>
      <c r="H27" s="12" t="s">
        <v>258</v>
      </c>
      <c r="I27" s="12">
        <v>1.337826251983643E-3</v>
      </c>
      <c r="J27" s="12">
        <v>0.51998758316040039</v>
      </c>
      <c r="K27" s="12">
        <f>IF('15A elementos'!$F27=0, IF('15A elementos'!$I27=0, 0, "Indefinido"), ABS('15A elementos'!$F27-'15A elementos'!$I27)/'15A elementos'!$F27)</f>
        <v>2.269178137637963E-15</v>
      </c>
      <c r="L27" s="12">
        <v>1</v>
      </c>
      <c r="M27" s="12">
        <f>'15A elementos'!$G27/'15A elementos'!$J27</f>
        <v>0.31757562863768951</v>
      </c>
    </row>
    <row r="28" spans="1:13" ht="14.25" customHeight="1">
      <c r="A28" s="12" t="s">
        <v>259</v>
      </c>
      <c r="B28" s="12" t="s">
        <v>260</v>
      </c>
      <c r="C28" s="12">
        <v>0</v>
      </c>
      <c r="D28" s="12">
        <v>2.83809471130371</v>
      </c>
      <c r="E28" s="12" t="s">
        <v>261</v>
      </c>
      <c r="F28" s="12">
        <v>0</v>
      </c>
      <c r="G28" s="12">
        <v>0.23332548141479501</v>
      </c>
      <c r="H28" s="12" t="s">
        <v>262</v>
      </c>
      <c r="I28" s="12">
        <v>0</v>
      </c>
      <c r="J28" s="12">
        <v>0.1774857044219971</v>
      </c>
      <c r="K28" s="12">
        <f>IF('15A elementos'!$F28=0, IF('15A elementos'!$I28=0, 0, "Indefinido"), ABS('15A elementos'!$F28-'15A elementos'!$I28)/'15A elementos'!$F28)</f>
        <v>0</v>
      </c>
      <c r="L28" s="12">
        <v>0</v>
      </c>
      <c r="M28" s="12">
        <f>'15A elementos'!$G28/'15A elementos'!$J28</f>
        <v>1.3146156315780286</v>
      </c>
    </row>
    <row r="29" spans="1:13" ht="14.25" customHeight="1">
      <c r="A29" s="12" t="s">
        <v>263</v>
      </c>
      <c r="B29" s="12" t="s">
        <v>264</v>
      </c>
      <c r="C29" s="12">
        <v>0</v>
      </c>
      <c r="D29" s="12">
        <v>10.4457359313965</v>
      </c>
      <c r="E29" s="12" t="s">
        <v>265</v>
      </c>
      <c r="F29" s="12">
        <v>0</v>
      </c>
      <c r="G29" s="12">
        <v>0.43327784538268999</v>
      </c>
      <c r="H29" s="12" t="s">
        <v>266</v>
      </c>
      <c r="I29" s="12">
        <v>0</v>
      </c>
      <c r="J29" s="12">
        <v>0.58939290046691895</v>
      </c>
      <c r="K29" s="12">
        <f>IF('15A elementos'!$F29=0, IF('15A elementos'!$I29=0, 0, "Indefinido"), ABS('15A elementos'!$F29-'15A elementos'!$I29)/'15A elementos'!$F29)</f>
        <v>0</v>
      </c>
      <c r="L29" s="12">
        <v>1</v>
      </c>
      <c r="M29" s="12">
        <f>'15A elementos'!$G29/'15A elementos'!$J29</f>
        <v>0.73512566072554641</v>
      </c>
    </row>
    <row r="30" spans="1:13" ht="14.25" customHeight="1">
      <c r="A30" s="12" t="s">
        <v>267</v>
      </c>
      <c r="B30" s="12"/>
      <c r="C30" s="12"/>
      <c r="D30" s="12"/>
      <c r="E30" s="12" t="s">
        <v>268</v>
      </c>
      <c r="F30" s="12">
        <v>7.0973634719848598E-3</v>
      </c>
      <c r="G30" s="12">
        <v>0.33598589897155801</v>
      </c>
      <c r="H30" s="12" t="s">
        <v>269</v>
      </c>
      <c r="I30" s="12">
        <v>7.205665111541748E-3</v>
      </c>
      <c r="J30" s="12">
        <v>0.46513819694519037</v>
      </c>
      <c r="K30" s="12">
        <f>IF('15A elementos'!$F30=0, IF('15A elementos'!$I30=0, 0, "Indefinido"), ABS('15A elementos'!$F30-'15A elementos'!$I30)/'15A elementos'!$F30)</f>
        <v>1.5259418512858046E-2</v>
      </c>
      <c r="L30" s="12">
        <v>0</v>
      </c>
      <c r="M30" s="12">
        <f>'15A elementos'!$G30/'15A elementos'!$J30</f>
        <v>0.72233564385414029</v>
      </c>
    </row>
    <row r="31" spans="1:13" ht="14.25" customHeight="1">
      <c r="A31" s="12" t="s">
        <v>270</v>
      </c>
      <c r="B31" s="12"/>
      <c r="C31" s="12"/>
      <c r="D31" s="12"/>
      <c r="E31" s="12" t="s">
        <v>271</v>
      </c>
      <c r="F31" s="12">
        <v>4.1897892951965297E-3</v>
      </c>
      <c r="G31" s="12">
        <v>0.190537214279175</v>
      </c>
      <c r="H31" s="12" t="s">
        <v>272</v>
      </c>
      <c r="I31" s="12">
        <v>4.1897892951965332E-3</v>
      </c>
      <c r="J31" s="12">
        <v>0.50172042846679688</v>
      </c>
      <c r="K31" s="12">
        <f>IF('15A elementos'!$F31=0, IF('15A elementos'!$I31=0, 0, "Indefinido"), ABS('15A elementos'!$F31-'15A elementos'!$I31)/'15A elementos'!$F31)</f>
        <v>8.2807194049859097E-16</v>
      </c>
      <c r="L31" s="12">
        <v>1</v>
      </c>
      <c r="M31" s="12">
        <f>'15A elementos'!$G31/'15A elementos'!$J31</f>
        <v>0.3797677022269873</v>
      </c>
    </row>
    <row r="32" spans="1:13" ht="14.25" customHeight="1">
      <c r="A32" s="12" t="s">
        <v>273</v>
      </c>
      <c r="B32" s="12"/>
      <c r="C32" s="12"/>
      <c r="D32" s="12"/>
      <c r="E32" s="12" t="s">
        <v>274</v>
      </c>
      <c r="F32" s="12">
        <v>4.1897892951965297E-3</v>
      </c>
      <c r="G32" s="12">
        <v>0.180169582366943</v>
      </c>
      <c r="H32" s="12" t="s">
        <v>275</v>
      </c>
      <c r="I32" s="12">
        <v>4.1897892951965332E-3</v>
      </c>
      <c r="J32" s="12">
        <v>1.966452598571777E-2</v>
      </c>
      <c r="K32" s="12">
        <f>IF('15A elementos'!$F32=0, IF('15A elementos'!$I32=0, 0, "Indefinido"), ABS('15A elementos'!$F32-'15A elementos'!$I32)/'15A elementos'!$F32)</f>
        <v>8.2807194049859097E-16</v>
      </c>
      <c r="L32" s="12">
        <v>0</v>
      </c>
      <c r="M32" s="12">
        <f>'15A elementos'!$G32/'15A elementos'!$J32</f>
        <v>9.1621624898458833</v>
      </c>
    </row>
    <row r="33" spans="1:13" ht="14.25" customHeight="1">
      <c r="A33" s="12" t="s">
        <v>276</v>
      </c>
      <c r="B33" s="12" t="s">
        <v>277</v>
      </c>
      <c r="C33" s="12">
        <v>0</v>
      </c>
      <c r="D33" s="12">
        <v>2.87991070747375</v>
      </c>
      <c r="E33" s="12" t="s">
        <v>278</v>
      </c>
      <c r="F33" s="12">
        <v>0</v>
      </c>
      <c r="G33" s="12">
        <v>0.55452060699462902</v>
      </c>
      <c r="H33" s="12" t="s">
        <v>279</v>
      </c>
      <c r="I33" s="12">
        <v>0</v>
      </c>
      <c r="J33" s="12">
        <v>8.9427947998046875E-2</v>
      </c>
      <c r="K33" s="12">
        <f>IF('15A elementos'!$F33=0, IF('15A elementos'!$I33=0, 0, "Indefinido"), ABS('15A elementos'!$F33-'15A elementos'!$I33)/'15A elementos'!$F33)</f>
        <v>0</v>
      </c>
      <c r="L33" s="12">
        <v>1</v>
      </c>
      <c r="M33" s="12">
        <f>'15A elementos'!$G33/'15A elementos'!$J33</f>
        <v>6.2007528899884843</v>
      </c>
    </row>
    <row r="34" spans="1:13" ht="14.25" customHeight="1">
      <c r="A34" s="12" t="s">
        <v>280</v>
      </c>
      <c r="B34" s="12" t="s">
        <v>281</v>
      </c>
      <c r="C34" s="12">
        <v>0</v>
      </c>
      <c r="D34" s="12">
        <v>3.0614156723022501</v>
      </c>
      <c r="E34" s="12" t="s">
        <v>282</v>
      </c>
      <c r="F34" s="12">
        <v>0</v>
      </c>
      <c r="G34" s="12">
        <v>0.32070970535278298</v>
      </c>
      <c r="H34" s="12" t="s">
        <v>283</v>
      </c>
      <c r="I34" s="12">
        <v>0</v>
      </c>
      <c r="J34" s="12">
        <v>9.0413570404052734E-2</v>
      </c>
      <c r="K34" s="12">
        <f>IF('15A elementos'!$F34=0, IF('15A elementos'!$I34=0, 0, "Indefinido"), ABS('15A elementos'!$F34-'15A elementos'!$I34)/'15A elementos'!$F34)</f>
        <v>0</v>
      </c>
      <c r="L34" s="12">
        <v>0</v>
      </c>
      <c r="M34" s="12">
        <f>'15A elementos'!$G34/'15A elementos'!$J34</f>
        <v>3.5471412523535002</v>
      </c>
    </row>
    <row r="35" spans="1:13" ht="14.25" customHeight="1">
      <c r="A35" s="12" t="s">
        <v>284</v>
      </c>
      <c r="B35" s="12" t="s">
        <v>285</v>
      </c>
      <c r="C35" s="12">
        <v>0</v>
      </c>
      <c r="D35" s="12">
        <v>2.5502007007598899</v>
      </c>
      <c r="E35" s="12" t="s">
        <v>286</v>
      </c>
      <c r="F35" s="12">
        <v>0</v>
      </c>
      <c r="G35" s="12">
        <v>0.18429708480835</v>
      </c>
      <c r="H35" s="12" t="s">
        <v>287</v>
      </c>
      <c r="I35" s="12">
        <v>0</v>
      </c>
      <c r="J35" s="12">
        <v>0.16971087455749509</v>
      </c>
      <c r="K35" s="12">
        <f>IF('15A elementos'!$F35=0, IF('15A elementos'!$I35=0, 0, "Indefinido"), ABS('15A elementos'!$F35-'15A elementos'!$I35)/'15A elementos'!$F35)</f>
        <v>0</v>
      </c>
      <c r="L35" s="12">
        <v>0</v>
      </c>
      <c r="M35" s="12">
        <f>'15A elementos'!$G35/'15A elementos'!$J35</f>
        <v>1.0859474107884193</v>
      </c>
    </row>
    <row r="36" spans="1:13" ht="14.25" customHeight="1">
      <c r="A36" s="12" t="s">
        <v>288</v>
      </c>
      <c r="B36" s="12"/>
      <c r="C36" s="12"/>
      <c r="D36" s="12"/>
      <c r="E36" s="12" t="s">
        <v>289</v>
      </c>
      <c r="F36" s="12">
        <v>7.0973634719848598E-3</v>
      </c>
      <c r="G36" s="12">
        <v>0.192900896072388</v>
      </c>
      <c r="H36" s="12" t="s">
        <v>290</v>
      </c>
      <c r="I36" s="12">
        <v>7.205665111541748E-3</v>
      </c>
      <c r="J36" s="12">
        <v>0.37964701652526861</v>
      </c>
      <c r="K36" s="12">
        <f>IF('15A elementos'!$F36=0, IF('15A elementos'!$I36=0, 0, "Indefinido"), ABS('15A elementos'!$F36-'15A elementos'!$I36)/'15A elementos'!$F36)</f>
        <v>1.5259418512858046E-2</v>
      </c>
      <c r="L36" s="12">
        <v>0</v>
      </c>
      <c r="M36" s="12">
        <f>'15A elementos'!$G36/'15A elementos'!$J36</f>
        <v>0.50810591859227439</v>
      </c>
    </row>
    <row r="37" spans="1:13" ht="14.25" customHeight="1">
      <c r="A37" s="12" t="s">
        <v>291</v>
      </c>
      <c r="B37" s="12"/>
      <c r="C37" s="12"/>
      <c r="D37" s="12"/>
      <c r="E37" s="12" t="s">
        <v>292</v>
      </c>
      <c r="F37" s="12">
        <v>7.0973634719848598E-3</v>
      </c>
      <c r="G37" s="12">
        <v>0.19927883148193401</v>
      </c>
      <c r="H37" s="12" t="s">
        <v>293</v>
      </c>
      <c r="I37" s="12">
        <v>7.205665111541748E-3</v>
      </c>
      <c r="J37" s="12">
        <v>0.51455140113830566</v>
      </c>
      <c r="K37" s="12">
        <f>IF('15A elementos'!$F37=0, IF('15A elementos'!$I37=0, 0, "Indefinido"), ABS('15A elementos'!$F37-'15A elementos'!$I37)/'15A elementos'!$F37)</f>
        <v>1.5259418512858046E-2</v>
      </c>
      <c r="L37" s="12">
        <v>1</v>
      </c>
      <c r="M37" s="12">
        <f>'15A elementos'!$G37/'15A elementos'!$J37</f>
        <v>0.3872865393837886</v>
      </c>
    </row>
    <row r="38" spans="1:13" ht="14.25" customHeight="1">
      <c r="A38" s="12" t="s">
        <v>294</v>
      </c>
      <c r="B38" s="12"/>
      <c r="C38" s="12"/>
      <c r="D38" s="12"/>
      <c r="E38" s="12" t="s">
        <v>295</v>
      </c>
      <c r="F38" s="12">
        <v>4.1897892951965297E-3</v>
      </c>
      <c r="G38" s="12">
        <v>0.16062664985656699</v>
      </c>
      <c r="H38" s="12" t="s">
        <v>296</v>
      </c>
      <c r="I38" s="12">
        <v>4.1897892951965332E-3</v>
      </c>
      <c r="J38" s="12">
        <v>0.35796594619750982</v>
      </c>
      <c r="K38" s="12">
        <f>IF('15A elementos'!$F38=0, IF('15A elementos'!$I38=0, 0, "Indefinido"), ABS('15A elementos'!$F38-'15A elementos'!$I38)/'15A elementos'!$F38)</f>
        <v>8.2807194049859097E-16</v>
      </c>
      <c r="L38" s="12">
        <v>1</v>
      </c>
      <c r="M38" s="12">
        <f>'15A elementos'!$G38/'15A elementos'!$J38</f>
        <v>0.44872047624312367</v>
      </c>
    </row>
    <row r="39" spans="1:13" ht="14.25" customHeight="1">
      <c r="A39" s="12" t="s">
        <v>297</v>
      </c>
      <c r="B39" s="12" t="s">
        <v>298</v>
      </c>
      <c r="C39" s="12">
        <v>0</v>
      </c>
      <c r="D39" s="12">
        <v>3.17818355560303</v>
      </c>
      <c r="E39" s="12" t="s">
        <v>299</v>
      </c>
      <c r="F39" s="12">
        <v>0</v>
      </c>
      <c r="G39" s="12">
        <v>0.33545589447021501</v>
      </c>
      <c r="H39" s="12" t="s">
        <v>300</v>
      </c>
      <c r="I39" s="12">
        <v>0</v>
      </c>
      <c r="J39" s="12">
        <v>0.57903790473937988</v>
      </c>
      <c r="K39" s="12">
        <f>IF('15A elementos'!$F39=0, IF('15A elementos'!$I39=0, 0, "Indefinido"), ABS('15A elementos'!$F39-'15A elementos'!$I39)/'15A elementos'!$F39)</f>
        <v>0</v>
      </c>
      <c r="L39" s="12">
        <v>0</v>
      </c>
      <c r="M39" s="12">
        <f>'15A elementos'!$G39/'15A elementos'!$J39</f>
        <v>0.57933322106296459</v>
      </c>
    </row>
    <row r="40" spans="1:13" ht="14.25" customHeight="1">
      <c r="A40" s="12" t="s">
        <v>301</v>
      </c>
      <c r="B40" s="12" t="s">
        <v>302</v>
      </c>
      <c r="C40" s="12">
        <v>0</v>
      </c>
      <c r="D40" s="12">
        <v>2.7478978633880602</v>
      </c>
      <c r="E40" s="12" t="s">
        <v>303</v>
      </c>
      <c r="F40" s="12">
        <v>0</v>
      </c>
      <c r="G40" s="12">
        <v>0.36375522613525402</v>
      </c>
      <c r="H40" s="12" t="s">
        <v>304</v>
      </c>
      <c r="I40" s="12">
        <v>0</v>
      </c>
      <c r="J40" s="12">
        <v>7.8887462615966797E-2</v>
      </c>
      <c r="K40" s="12">
        <f>IF('15A elementos'!$F40=0, IF('15A elementos'!$I40=0, 0, "Indefinido"), ABS('15A elementos'!$F40-'15A elementos'!$I40)/'15A elementos'!$F40)</f>
        <v>0</v>
      </c>
      <c r="L40" s="12">
        <v>0</v>
      </c>
      <c r="M40" s="12">
        <f>'15A elementos'!$G40/'15A elementos'!$J40</f>
        <v>4.6110651055676124</v>
      </c>
    </row>
    <row r="41" spans="1:13" ht="14.25" customHeight="1">
      <c r="A41" s="12" t="s">
        <v>305</v>
      </c>
      <c r="B41" s="12" t="s">
        <v>306</v>
      </c>
      <c r="C41" s="12">
        <v>0</v>
      </c>
      <c r="D41" s="12">
        <v>2.6484422683715798</v>
      </c>
      <c r="E41" s="12" t="s">
        <v>307</v>
      </c>
      <c r="F41" s="12">
        <v>0</v>
      </c>
      <c r="G41" s="12">
        <v>0.20614671707153301</v>
      </c>
      <c r="H41" s="12" t="s">
        <v>308</v>
      </c>
      <c r="I41" s="12">
        <v>0</v>
      </c>
      <c r="J41" s="12">
        <v>8.1706047058105469E-2</v>
      </c>
      <c r="K41" s="12">
        <f>IF('15A elementos'!$F41=0, IF('15A elementos'!$I41=0, 0, "Indefinido"), ABS('15A elementos'!$F41-'15A elementos'!$I41)/'15A elementos'!$F41)</f>
        <v>0</v>
      </c>
      <c r="L41" s="12">
        <v>1</v>
      </c>
      <c r="M41" s="12">
        <f>'15A elementos'!$G41/'15A elementos'!$J41</f>
        <v>2.5230288882404412</v>
      </c>
    </row>
    <row r="42" spans="1:13" ht="14.25" customHeight="1">
      <c r="A42" s="12" t="s">
        <v>309</v>
      </c>
      <c r="B42" s="12"/>
      <c r="C42" s="12"/>
      <c r="D42" s="12"/>
      <c r="E42" s="12" t="s">
        <v>310</v>
      </c>
      <c r="F42" s="12">
        <v>7.0973634719848598E-3</v>
      </c>
      <c r="G42" s="12">
        <v>0.14544653892517101</v>
      </c>
      <c r="H42" s="12" t="s">
        <v>311</v>
      </c>
      <c r="I42" s="12">
        <v>7.205665111541748E-3</v>
      </c>
      <c r="J42" s="12">
        <v>0.4558403491973877</v>
      </c>
      <c r="K42" s="12">
        <f>IF('15A elementos'!$F42=0, IF('15A elementos'!$I42=0, 0, "Indefinido"), ABS('15A elementos'!$F42-'15A elementos'!$I42)/'15A elementos'!$F42)</f>
        <v>1.5259418512858046E-2</v>
      </c>
      <c r="L42" s="12">
        <v>1</v>
      </c>
      <c r="M42" s="12">
        <f>'15A elementos'!$G42/'15A elementos'!$J42</f>
        <v>0.31907341941375583</v>
      </c>
    </row>
    <row r="43" spans="1:13" ht="14.25" customHeight="1">
      <c r="A43" s="12" t="s">
        <v>312</v>
      </c>
      <c r="B43" s="12" t="s">
        <v>313</v>
      </c>
      <c r="C43" s="12">
        <v>0</v>
      </c>
      <c r="D43" s="12">
        <v>3.13600730895996</v>
      </c>
      <c r="E43" s="12" t="s">
        <v>314</v>
      </c>
      <c r="F43" s="12">
        <v>0</v>
      </c>
      <c r="G43" s="12">
        <v>0.28363752365112299</v>
      </c>
      <c r="H43" s="12" t="s">
        <v>315</v>
      </c>
      <c r="I43" s="12">
        <v>0</v>
      </c>
      <c r="J43" s="12">
        <v>7.554173469543457E-2</v>
      </c>
      <c r="K43" s="12">
        <f>IF('15A elementos'!$F43=0, IF('15A elementos'!$I43=0, 0, "Indefinido"), ABS('15A elementos'!$F43-'15A elementos'!$I43)/'15A elementos'!$F43)</f>
        <v>0</v>
      </c>
      <c r="L43" s="12">
        <v>1</v>
      </c>
      <c r="M43" s="12">
        <f>'15A elementos'!$G43/'15A elementos'!$J43</f>
        <v>3.7547128722245886</v>
      </c>
    </row>
    <row r="44" spans="1:13" ht="14.25" customHeight="1">
      <c r="A44" s="12" t="s">
        <v>316</v>
      </c>
      <c r="B44" s="12" t="s">
        <v>317</v>
      </c>
      <c r="C44" s="12">
        <v>1.338E-3</v>
      </c>
      <c r="D44" s="12">
        <v>129.84960651397699</v>
      </c>
      <c r="E44" s="12" t="s">
        <v>318</v>
      </c>
      <c r="F44" s="12">
        <v>1.33782625198364E-3</v>
      </c>
      <c r="G44" s="12">
        <v>0.217049360275269</v>
      </c>
      <c r="H44" s="12" t="s">
        <v>319</v>
      </c>
      <c r="I44" s="12">
        <v>1.337826251983643E-3</v>
      </c>
      <c r="J44" s="12">
        <v>0.47032546997070313</v>
      </c>
      <c r="K44" s="12">
        <f>IF('15A elementos'!$F44=0, IF('15A elementos'!$I44=0, 0, "Indefinido"), ABS('15A elementos'!$F44-'15A elementos'!$I44)/'15A elementos'!$F44)</f>
        <v>2.269178137637963E-15</v>
      </c>
      <c r="L44" s="12">
        <v>1</v>
      </c>
      <c r="M44" s="12">
        <f>'15A elementos'!$G44/'15A elementos'!$J44</f>
        <v>0.46148757431484444</v>
      </c>
    </row>
    <row r="45" spans="1:13" ht="14.25" customHeight="1">
      <c r="A45" s="12" t="s">
        <v>320</v>
      </c>
      <c r="B45" s="12" t="s">
        <v>321</v>
      </c>
      <c r="C45" s="12">
        <v>4.6999999999999997E-5</v>
      </c>
      <c r="D45" s="12">
        <v>61.4915287494659</v>
      </c>
      <c r="E45" s="12" t="s">
        <v>322</v>
      </c>
      <c r="F45" s="12">
        <v>4.7147274017333998E-5</v>
      </c>
      <c r="G45" s="12">
        <v>0.15759372711181599</v>
      </c>
      <c r="H45" s="12" t="s">
        <v>323</v>
      </c>
      <c r="I45" s="12">
        <v>4.7147274017333978E-5</v>
      </c>
      <c r="J45" s="12">
        <v>3.3982515335083008E-2</v>
      </c>
      <c r="K45" s="12">
        <f>IF('15A elementos'!$F45=0, IF('15A elementos'!$I45=0, 0, "Indefinido"), ABS('15A elementos'!$F45-'15A elementos'!$I45)/'15A elementos'!$F45)</f>
        <v>4.3117637568248799E-16</v>
      </c>
      <c r="L45" s="12">
        <v>1</v>
      </c>
      <c r="M45" s="12">
        <f>'15A elementos'!$G45/'15A elementos'!$J45</f>
        <v>4.6374944749636802</v>
      </c>
    </row>
    <row r="46" spans="1:13" ht="14.25" customHeight="1">
      <c r="A46" s="12" t="s">
        <v>324</v>
      </c>
      <c r="B46" s="12" t="s">
        <v>325</v>
      </c>
      <c r="C46" s="12">
        <v>5.7860000000000003E-3</v>
      </c>
      <c r="D46" s="12">
        <v>30.732897520065301</v>
      </c>
      <c r="E46" s="12" t="s">
        <v>326</v>
      </c>
      <c r="F46" s="12">
        <v>4.3781995773315404E-3</v>
      </c>
      <c r="G46" s="12">
        <v>9.5265150070190402E-2</v>
      </c>
      <c r="H46" s="12" t="s">
        <v>327</v>
      </c>
      <c r="I46" s="12">
        <v>4.378199577331543E-3</v>
      </c>
      <c r="J46" s="12">
        <v>0.43795466423034668</v>
      </c>
      <c r="K46" s="12">
        <f>IF('15A elementos'!$F46=0, IF('15A elementos'!$I46=0, 0, "Indefinido"), ABS('15A elementos'!$F46-'15A elementos'!$I46)/'15A elementos'!$F46)</f>
        <v>5.9432768378986278E-16</v>
      </c>
      <c r="L46" s="12">
        <v>1</v>
      </c>
      <c r="M46" s="12">
        <f>'15A elementos'!$G46/'15A elementos'!$J46</f>
        <v>0.21752285761725496</v>
      </c>
    </row>
    <row r="47" spans="1:13" ht="14.25" customHeight="1">
      <c r="A47" s="12" t="s">
        <v>328</v>
      </c>
      <c r="B47" s="12" t="s">
        <v>329</v>
      </c>
      <c r="C47" s="12">
        <v>1.338E-3</v>
      </c>
      <c r="D47" s="12">
        <v>54.801819086074801</v>
      </c>
      <c r="E47" s="12" t="s">
        <v>330</v>
      </c>
      <c r="F47" s="12">
        <v>1.33782625198364E-3</v>
      </c>
      <c r="G47" s="12">
        <v>8.02416801452637E-2</v>
      </c>
      <c r="H47" s="12" t="s">
        <v>331</v>
      </c>
      <c r="I47" s="12">
        <v>1.337826251983643E-3</v>
      </c>
      <c r="J47" s="12">
        <v>0.56252479553222656</v>
      </c>
      <c r="K47" s="12">
        <f>IF('15A elementos'!$F47=0, IF('15A elementos'!$I47=0, 0, "Indefinido"), ABS('15A elementos'!$F47-'15A elementos'!$I47)/'15A elementos'!$F47)</f>
        <v>2.269178137637963E-15</v>
      </c>
      <c r="L47" s="12">
        <v>1</v>
      </c>
      <c r="M47" s="12">
        <f>'15A elementos'!$G47/'15A elementos'!$J47</f>
        <v>0.14264558786132073</v>
      </c>
    </row>
    <row r="48" spans="1:13" ht="14.25" customHeight="1">
      <c r="A48" s="12" t="s">
        <v>332</v>
      </c>
      <c r="B48" s="12" t="s">
        <v>333</v>
      </c>
      <c r="C48" s="12">
        <v>7.097E-3</v>
      </c>
      <c r="D48" s="12">
        <v>16.281037569045999</v>
      </c>
      <c r="E48" s="12" t="s">
        <v>334</v>
      </c>
      <c r="F48" s="12">
        <v>7.0973634719848598E-3</v>
      </c>
      <c r="G48" s="12">
        <v>9.5386266708373996E-2</v>
      </c>
      <c r="H48" s="12" t="s">
        <v>335</v>
      </c>
      <c r="I48" s="12">
        <v>7.0973634719848633E-3</v>
      </c>
      <c r="J48" s="12">
        <v>0.33099365234375</v>
      </c>
      <c r="K48" s="12">
        <f>IF('15A elementos'!$F48=0, IF('15A elementos'!$I48=0, 0, "Indefinido"), ABS('15A elementos'!$F48-'15A elementos'!$I48)/'15A elementos'!$F48)</f>
        <v>4.888360256098513E-16</v>
      </c>
      <c r="L48" s="12">
        <v>1</v>
      </c>
      <c r="M48" s="12">
        <f>'15A elementos'!$G48/'15A elementos'!$J48</f>
        <v>0.28818155886962926</v>
      </c>
    </row>
    <row r="49" spans="1:13" ht="14.25" customHeight="1">
      <c r="A49" s="12" t="s">
        <v>336</v>
      </c>
      <c r="B49" s="12" t="s">
        <v>337</v>
      </c>
      <c r="C49" s="12">
        <v>5.3579999999999999E-3</v>
      </c>
      <c r="D49" s="12">
        <v>20.910347938537601</v>
      </c>
      <c r="E49" s="12" t="s">
        <v>338</v>
      </c>
      <c r="F49" s="12">
        <v>5.3575038909912101E-3</v>
      </c>
      <c r="G49" s="12">
        <v>9.77435111999512E-2</v>
      </c>
      <c r="H49" s="12" t="s">
        <v>339</v>
      </c>
      <c r="I49" s="12">
        <v>4.378199577331543E-3</v>
      </c>
      <c r="J49" s="12">
        <v>0.55325794219970703</v>
      </c>
      <c r="K49" s="12">
        <f>IF('15A elementos'!$F49=0, IF('15A elementos'!$I49=0, 0, "Indefinido"), ABS('15A elementos'!$F49-'15A elementos'!$I49)/'15A elementos'!$F49)</f>
        <v>0.18279115304169805</v>
      </c>
      <c r="L49" s="12">
        <v>1</v>
      </c>
      <c r="M49" s="12">
        <f>'15A elementos'!$G49/'15A elementos'!$J49</f>
        <v>0.17666897073602092</v>
      </c>
    </row>
    <row r="50" spans="1:13" ht="14.25" customHeight="1">
      <c r="A50" s="12" t="s">
        <v>340</v>
      </c>
      <c r="B50" s="12" t="s">
        <v>341</v>
      </c>
      <c r="C50" s="12">
        <v>7.097E-3</v>
      </c>
      <c r="D50" s="12">
        <v>9.2441244125366193</v>
      </c>
      <c r="E50" s="12" t="s">
        <v>342</v>
      </c>
      <c r="F50" s="12">
        <v>7.0973634719848598E-3</v>
      </c>
      <c r="G50" s="12">
        <v>6.6367149353027302E-2</v>
      </c>
      <c r="H50" s="12" t="s">
        <v>343</v>
      </c>
      <c r="I50" s="12">
        <v>7.0973634719848633E-3</v>
      </c>
      <c r="J50" s="12">
        <v>0.32682037353515619</v>
      </c>
      <c r="K50" s="12">
        <f>IF('15A elementos'!$F50=0, IF('15A elementos'!$I50=0, 0, "Indefinido"), ABS('15A elementos'!$F50-'15A elementos'!$I50)/'15A elementos'!$F50)</f>
        <v>4.888360256098513E-16</v>
      </c>
      <c r="L50" s="12">
        <v>1</v>
      </c>
      <c r="M50" s="12">
        <f>'15A elementos'!$G50/'15A elementos'!$J50</f>
        <v>0.20306919252048453</v>
      </c>
    </row>
    <row r="51" spans="1:13" ht="14.25" customHeight="1">
      <c r="A51" s="12" t="s">
        <v>344</v>
      </c>
      <c r="B51" s="12" t="s">
        <v>345</v>
      </c>
      <c r="C51" s="12">
        <v>4.1900000000000001E-3</v>
      </c>
      <c r="D51" s="12">
        <v>11.546637058258099</v>
      </c>
      <c r="E51" s="12" t="s">
        <v>346</v>
      </c>
      <c r="F51" s="12">
        <v>4.1897892951965297E-3</v>
      </c>
      <c r="G51" s="12">
        <v>5.41002750396729E-2</v>
      </c>
      <c r="H51" s="12" t="s">
        <v>347</v>
      </c>
      <c r="I51" s="12">
        <v>4.1897892951965332E-3</v>
      </c>
      <c r="J51" s="12">
        <v>0.44590139389038091</v>
      </c>
      <c r="K51" s="12">
        <f>IF('15A elementos'!$F51=0, IF('15A elementos'!$I51=0, 0, "Indefinido"), ABS('15A elementos'!$F51-'15A elementos'!$I51)/'15A elementos'!$F51)</f>
        <v>8.2807194049859097E-16</v>
      </c>
      <c r="L51" s="12">
        <v>1</v>
      </c>
      <c r="M51" s="12">
        <f>'15A elementos'!$G51/'15A elementos'!$J51</f>
        <v>0.12132788948619602</v>
      </c>
    </row>
    <row r="52" spans="1:13" ht="14.25" customHeight="1">
      <c r="A52" s="12" t="s">
        <v>348</v>
      </c>
      <c r="B52" s="12" t="s">
        <v>349</v>
      </c>
      <c r="C52" s="12">
        <v>8.7939999999999997E-3</v>
      </c>
      <c r="D52" s="12">
        <v>8.15795850753784</v>
      </c>
      <c r="E52" s="12" t="s">
        <v>350</v>
      </c>
      <c r="F52" s="12">
        <v>8.7940692901611293E-3</v>
      </c>
      <c r="G52" s="12">
        <v>6.20684623718262E-2</v>
      </c>
      <c r="H52" s="12" t="s">
        <v>351</v>
      </c>
      <c r="I52" s="12">
        <v>8.7940692901611328E-3</v>
      </c>
      <c r="J52" s="12">
        <v>0.30757808685302701</v>
      </c>
      <c r="K52" s="12">
        <f>IF('15A elementos'!$F52=0, IF('15A elementos'!$I52=0, 0, "Indefinido"), ABS('15A elementos'!$F52-'15A elementos'!$I52)/'15A elementos'!$F52)</f>
        <v>3.9452122077719555E-16</v>
      </c>
      <c r="L52" s="12">
        <v>1</v>
      </c>
      <c r="M52" s="12">
        <f>'15A elementos'!$G52/'15A elementos'!$J52</f>
        <v>0.20179741348571742</v>
      </c>
    </row>
    <row r="53" spans="1:13" ht="14.25" customHeight="1">
      <c r="K53" s="19">
        <f>SUM('15A elementos'!$K$3:$K$52)/50</f>
        <v>4.8765765418629344E-3</v>
      </c>
      <c r="L53" s="19">
        <f>SUM('15A elementos'!$L$3:$L$52)/50</f>
        <v>0.8</v>
      </c>
      <c r="M53" s="19">
        <f>SUM('15A elementos'!$M$3:$M$52)/50</f>
        <v>1.909086643039493</v>
      </c>
    </row>
    <row r="54" spans="1:13" ht="14.25" customHeight="1"/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E1:G1"/>
    <mergeCell ref="H1:J1"/>
    <mergeCell ref="K1:L1"/>
  </mergeCells>
  <pageMargins left="0.7" right="0.7" top="0.75" bottom="0.75" header="0" footer="0"/>
  <pageSetup orientation="landscape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selection activeCell="H2" sqref="H2"/>
    </sheetView>
  </sheetViews>
  <sheetFormatPr baseColWidth="10" defaultColWidth="14.44140625" defaultRowHeight="15" customHeight="1"/>
  <cols>
    <col min="1" max="1" width="43.88671875" customWidth="1"/>
    <col min="2" max="2" width="17" customWidth="1"/>
    <col min="3" max="3" width="6.5546875" customWidth="1"/>
    <col min="4" max="4" width="11.6640625" customWidth="1"/>
    <col min="5" max="5" width="33.109375" customWidth="1"/>
    <col min="6" max="6" width="15" customWidth="1"/>
    <col min="7" max="7" width="11.6640625" customWidth="1"/>
    <col min="8" max="8" width="33.44140625" customWidth="1"/>
    <col min="9" max="9" width="15.88671875" customWidth="1"/>
    <col min="10" max="10" width="31.33203125" customWidth="1"/>
    <col min="11" max="11" width="18.6640625" customWidth="1"/>
    <col min="12" max="12" width="16.33203125" customWidth="1"/>
    <col min="13" max="13" width="18.33203125" customWidth="1"/>
    <col min="14" max="23" width="10.6640625" customWidth="1"/>
  </cols>
  <sheetData>
    <row r="1" spans="1:13" ht="22.8" customHeight="1">
      <c r="A1" s="28"/>
      <c r="B1" s="55" t="s">
        <v>0</v>
      </c>
      <c r="C1" s="56"/>
      <c r="D1" s="57"/>
      <c r="E1" s="58" t="s">
        <v>626</v>
      </c>
      <c r="F1" s="56"/>
      <c r="G1" s="57"/>
      <c r="H1" s="49" t="s">
        <v>624</v>
      </c>
      <c r="I1" s="50"/>
      <c r="J1" s="51"/>
      <c r="K1" s="52" t="s">
        <v>1</v>
      </c>
      <c r="L1" s="53"/>
      <c r="M1" s="2" t="s">
        <v>2</v>
      </c>
    </row>
    <row r="2" spans="1:13" ht="14.25" customHeight="1">
      <c r="A2" s="29" t="s">
        <v>3</v>
      </c>
      <c r="B2" s="30" t="s">
        <v>4</v>
      </c>
      <c r="C2" s="30" t="s">
        <v>5</v>
      </c>
      <c r="D2" s="30" t="s">
        <v>6</v>
      </c>
      <c r="E2" s="23" t="s">
        <v>7</v>
      </c>
      <c r="F2" s="23" t="s">
        <v>8</v>
      </c>
      <c r="G2" s="23" t="s">
        <v>9</v>
      </c>
      <c r="H2" s="26" t="s">
        <v>7</v>
      </c>
      <c r="I2" s="26" t="s">
        <v>8</v>
      </c>
      <c r="J2" s="27" t="s">
        <v>163</v>
      </c>
      <c r="K2" s="9" t="s">
        <v>11</v>
      </c>
      <c r="L2" s="9" t="s">
        <v>352</v>
      </c>
      <c r="M2" s="9" t="s">
        <v>13</v>
      </c>
    </row>
    <row r="3" spans="1:13" ht="14.25" customHeight="1">
      <c r="A3" s="17" t="s">
        <v>164</v>
      </c>
      <c r="B3" s="17" t="s">
        <v>353</v>
      </c>
      <c r="C3" s="17">
        <v>0</v>
      </c>
      <c r="D3" s="17">
        <v>34.428434133529699</v>
      </c>
      <c r="E3" s="17" t="s">
        <v>354</v>
      </c>
      <c r="F3" s="17">
        <v>0</v>
      </c>
      <c r="G3" s="17">
        <v>2.87412452697754</v>
      </c>
      <c r="H3" s="17" t="s">
        <v>167</v>
      </c>
      <c r="I3" s="17">
        <v>0</v>
      </c>
      <c r="J3" s="17">
        <v>1.8886198997497561</v>
      </c>
      <c r="K3" s="15">
        <f>IF('15B elementos'!$F3=0, IF('15B elementos'!$I3=0, 0, "Indefinido"), ABS('15B elementos'!$F3-'15B elementos'!$I3)/'15B elementos'!$F3)</f>
        <v>0</v>
      </c>
      <c r="L3" s="15">
        <v>1</v>
      </c>
      <c r="M3" s="15">
        <f>'15B elementos'!$G3/'15B elementos'!$J3</f>
        <v>1.5218120530014345</v>
      </c>
    </row>
    <row r="4" spans="1:13" ht="14.25" customHeight="1">
      <c r="A4" s="17" t="s">
        <v>168</v>
      </c>
      <c r="B4" s="17" t="s">
        <v>355</v>
      </c>
      <c r="C4" s="17">
        <v>0</v>
      </c>
      <c r="D4" s="17">
        <v>47.741694211959803</v>
      </c>
      <c r="E4" s="17" t="s">
        <v>356</v>
      </c>
      <c r="F4" s="17">
        <v>0</v>
      </c>
      <c r="G4" s="17">
        <v>1.76363301277161</v>
      </c>
      <c r="H4" s="17" t="s">
        <v>171</v>
      </c>
      <c r="I4" s="17">
        <v>0</v>
      </c>
      <c r="J4" s="17">
        <v>0.1149923801422119</v>
      </c>
      <c r="K4" s="17">
        <f>IF('15B elementos'!$F4=0, IF('15B elementos'!$I4=0, 0, "Indefinido"), ABS('15B elementos'!$F4-'15B elementos'!$I4)/'15B elementos'!$F4)</f>
        <v>0</v>
      </c>
      <c r="L4" s="17">
        <v>0</v>
      </c>
      <c r="M4" s="17">
        <f>'15B elementos'!$G4/'15B elementos'!$J4</f>
        <v>15.336955462531625</v>
      </c>
    </row>
    <row r="5" spans="1:13" ht="14.25" customHeight="1">
      <c r="A5" s="17" t="s">
        <v>172</v>
      </c>
      <c r="B5" s="17" t="s">
        <v>357</v>
      </c>
      <c r="C5" s="17">
        <v>0</v>
      </c>
      <c r="D5" s="17">
        <v>87.4629256725311</v>
      </c>
      <c r="E5" s="17" t="s">
        <v>174</v>
      </c>
      <c r="F5" s="17">
        <v>0</v>
      </c>
      <c r="G5" s="17">
        <v>1.19104051589966</v>
      </c>
      <c r="H5" s="17" t="s">
        <v>175</v>
      </c>
      <c r="I5" s="17">
        <v>0</v>
      </c>
      <c r="J5" s="17">
        <v>1.6970784664154051</v>
      </c>
      <c r="K5" s="17">
        <f>IF('15B elementos'!$F5=0, IF('15B elementos'!$I5=0, 0, "Indefinido"), ABS('15B elementos'!$F5-'15B elementos'!$I5)/'15B elementos'!$F5)</f>
        <v>0</v>
      </c>
      <c r="L5" s="17">
        <v>1</v>
      </c>
      <c r="M5" s="17">
        <f>'15B elementos'!$G5/'15B elementos'!$J5</f>
        <v>0.70181817722040507</v>
      </c>
    </row>
    <row r="6" spans="1:13" ht="14.25" customHeight="1">
      <c r="A6" s="17" t="s">
        <v>176</v>
      </c>
      <c r="B6" s="17" t="s">
        <v>358</v>
      </c>
      <c r="C6" s="17">
        <v>0</v>
      </c>
      <c r="D6" s="17">
        <v>10.973038911819501</v>
      </c>
      <c r="E6" s="17" t="s">
        <v>178</v>
      </c>
      <c r="F6" s="17">
        <v>0</v>
      </c>
      <c r="G6" s="17">
        <v>0.43097782135009799</v>
      </c>
      <c r="H6" s="17" t="s">
        <v>179</v>
      </c>
      <c r="I6" s="17">
        <v>0</v>
      </c>
      <c r="J6" s="17">
        <v>0.23936653137207031</v>
      </c>
      <c r="K6" s="17">
        <f>IF('15B elementos'!$F6=0, IF('15B elementos'!$I6=0, 0, "Indefinido"), ABS('15B elementos'!$F6-'15B elementos'!$I6)/'15B elementos'!$F6)</f>
        <v>0</v>
      </c>
      <c r="L6" s="17">
        <v>1</v>
      </c>
      <c r="M6" s="17">
        <f>'15B elementos'!$G6/'15B elementos'!$J6</f>
        <v>1.8004932388822057</v>
      </c>
    </row>
    <row r="7" spans="1:13" ht="14.25" customHeight="1">
      <c r="A7" s="17" t="s">
        <v>180</v>
      </c>
      <c r="B7" s="17" t="s">
        <v>359</v>
      </c>
      <c r="C7" s="17">
        <v>0</v>
      </c>
      <c r="D7" s="17">
        <v>82.683895826339693</v>
      </c>
      <c r="E7" s="17" t="s">
        <v>182</v>
      </c>
      <c r="F7" s="17">
        <v>0</v>
      </c>
      <c r="G7" s="17">
        <v>0.50125217437744096</v>
      </c>
      <c r="H7" s="17" t="s">
        <v>183</v>
      </c>
      <c r="I7" s="17">
        <v>0</v>
      </c>
      <c r="J7" s="17">
        <v>1.91222620010376</v>
      </c>
      <c r="K7" s="17">
        <f>IF('15B elementos'!$F7=0, IF('15B elementos'!$I7=0, 0, "Indefinido"), ABS('15B elementos'!$F7-'15B elementos'!$I7)/'15B elementos'!$F7)</f>
        <v>0</v>
      </c>
      <c r="L7" s="17">
        <v>1</v>
      </c>
      <c r="M7" s="17">
        <f>'15B elementos'!$G7/'15B elementos'!$J7</f>
        <v>0.2621301676288309</v>
      </c>
    </row>
    <row r="8" spans="1:13" ht="14.25" customHeight="1">
      <c r="A8" s="17" t="s">
        <v>184</v>
      </c>
      <c r="B8" s="17" t="s">
        <v>360</v>
      </c>
      <c r="C8" s="17">
        <v>0</v>
      </c>
      <c r="D8" s="17">
        <v>117.278519153595</v>
      </c>
      <c r="E8" s="17" t="s">
        <v>361</v>
      </c>
      <c r="F8" s="17">
        <v>0</v>
      </c>
      <c r="G8" s="17">
        <v>1.01453638076782</v>
      </c>
      <c r="H8" s="17" t="s">
        <v>187</v>
      </c>
      <c r="I8" s="17">
        <v>0</v>
      </c>
      <c r="J8" s="17">
        <v>0.58646607398986816</v>
      </c>
      <c r="K8" s="17">
        <f>IF('15B elementos'!$F8=0, IF('15B elementos'!$I8=0, 0, "Indefinido"), ABS('15B elementos'!$F8-'15B elementos'!$I8)/'15B elementos'!$F8)</f>
        <v>0</v>
      </c>
      <c r="L8" s="17">
        <v>0</v>
      </c>
      <c r="M8" s="17">
        <f>'15B elementos'!$G8/'15B elementos'!$J8</f>
        <v>1.7299148676507199</v>
      </c>
    </row>
    <row r="9" spans="1:13" ht="14.25" customHeight="1">
      <c r="A9" s="17" t="s">
        <v>188</v>
      </c>
      <c r="B9" s="17" t="s">
        <v>362</v>
      </c>
      <c r="C9" s="17">
        <v>0</v>
      </c>
      <c r="D9" s="17">
        <v>11.723634243011499</v>
      </c>
      <c r="E9" s="17" t="s">
        <v>363</v>
      </c>
      <c r="F9" s="17">
        <v>0</v>
      </c>
      <c r="G9" s="17">
        <v>0.459819316864014</v>
      </c>
      <c r="H9" s="17" t="s">
        <v>191</v>
      </c>
      <c r="I9" s="17">
        <v>0</v>
      </c>
      <c r="J9" s="17">
        <v>1.754148483276367</v>
      </c>
      <c r="K9" s="17">
        <f>IF('15B elementos'!$F9=0, IF('15B elementos'!$I9=0, 0, "Indefinido"), ABS('15B elementos'!$F9-'15B elementos'!$I9)/'15B elementos'!$F9)</f>
        <v>0</v>
      </c>
      <c r="L9" s="17">
        <v>0</v>
      </c>
      <c r="M9" s="17">
        <f>'15B elementos'!$G9/'15B elementos'!$J9</f>
        <v>0.26213249405499117</v>
      </c>
    </row>
    <row r="10" spans="1:13" ht="14.25" customHeight="1">
      <c r="A10" s="17" t="s">
        <v>192</v>
      </c>
      <c r="B10" s="17" t="s">
        <v>364</v>
      </c>
      <c r="C10" s="17">
        <v>0</v>
      </c>
      <c r="D10" s="17">
        <v>12.985172033309899</v>
      </c>
      <c r="E10" s="17" t="s">
        <v>365</v>
      </c>
      <c r="F10" s="17">
        <v>0</v>
      </c>
      <c r="G10" s="17">
        <v>0.67040944099426303</v>
      </c>
      <c r="H10" s="17" t="s">
        <v>195</v>
      </c>
      <c r="I10" s="17">
        <v>0</v>
      </c>
      <c r="J10" s="17">
        <v>0.117152214050293</v>
      </c>
      <c r="K10" s="17">
        <f>IF('15B elementos'!$F10=0, IF('15B elementos'!$I10=0, 0, "Indefinido"), ABS('15B elementos'!$F10-'15B elementos'!$I10)/'15B elementos'!$F10)</f>
        <v>0</v>
      </c>
      <c r="L10" s="17">
        <v>0</v>
      </c>
      <c r="M10" s="17">
        <f>'15B elementos'!$G10/'15B elementos'!$J10</f>
        <v>5.7225503284680457</v>
      </c>
    </row>
    <row r="11" spans="1:13" ht="14.25" customHeight="1">
      <c r="A11" s="17" t="s">
        <v>196</v>
      </c>
      <c r="B11" s="17" t="s">
        <v>366</v>
      </c>
      <c r="C11" s="17">
        <v>0</v>
      </c>
      <c r="D11" s="17">
        <v>116.125307321549</v>
      </c>
      <c r="E11" s="17" t="s">
        <v>367</v>
      </c>
      <c r="F11" s="17">
        <v>0</v>
      </c>
      <c r="G11" s="17">
        <v>0.42214393615722701</v>
      </c>
      <c r="H11" s="17" t="s">
        <v>199</v>
      </c>
      <c r="I11" s="17">
        <v>0</v>
      </c>
      <c r="J11" s="17">
        <v>1.6832728385925291</v>
      </c>
      <c r="K11" s="17">
        <f>IF('15B elementos'!$F11=0, IF('15B elementos'!$I11=0, 0, "Indefinido"), ABS('15B elementos'!$F11-'15B elementos'!$I11)/'15B elementos'!$F11)</f>
        <v>0</v>
      </c>
      <c r="L11" s="17">
        <v>0</v>
      </c>
      <c r="M11" s="17">
        <f>'15B elementos'!$G11/'15B elementos'!$J11</f>
        <v>0.25078758860637423</v>
      </c>
    </row>
    <row r="12" spans="1:13" ht="14.25" customHeight="1">
      <c r="A12" s="17" t="s">
        <v>200</v>
      </c>
      <c r="B12" s="17" t="s">
        <v>368</v>
      </c>
      <c r="C12" s="17">
        <v>0</v>
      </c>
      <c r="D12" s="17">
        <v>138.624082803726</v>
      </c>
      <c r="E12" s="17" t="s">
        <v>369</v>
      </c>
      <c r="F12" s="17">
        <v>0</v>
      </c>
      <c r="G12" s="17">
        <v>0.47676157951355003</v>
      </c>
      <c r="H12" s="17" t="s">
        <v>203</v>
      </c>
      <c r="I12" s="17">
        <v>0</v>
      </c>
      <c r="J12" s="17">
        <v>0.119441032409668</v>
      </c>
      <c r="K12" s="17">
        <f>IF('15B elementos'!$F12=0, IF('15B elementos'!$I12=0, 0, "Indefinido"), ABS('15B elementos'!$F12-'15B elementos'!$I12)/'15B elementos'!$F12)</f>
        <v>0</v>
      </c>
      <c r="L12" s="17">
        <v>0</v>
      </c>
      <c r="M12" s="17">
        <f>'15B elementos'!$G12/'15B elementos'!$J12</f>
        <v>3.9916063173191327</v>
      </c>
    </row>
    <row r="13" spans="1:13" ht="14.25" customHeight="1">
      <c r="A13" s="17" t="s">
        <v>204</v>
      </c>
      <c r="B13" s="17" t="s">
        <v>370</v>
      </c>
      <c r="C13" s="17">
        <v>0</v>
      </c>
      <c r="D13" s="17">
        <v>11.0754902362824</v>
      </c>
      <c r="E13" s="17" t="s">
        <v>206</v>
      </c>
      <c r="F13" s="17">
        <v>0</v>
      </c>
      <c r="G13" s="17">
        <v>0.38063311576843301</v>
      </c>
      <c r="H13" s="17" t="s">
        <v>207</v>
      </c>
      <c r="I13" s="17">
        <v>0</v>
      </c>
      <c r="J13" s="17">
        <v>1.849624395370483</v>
      </c>
      <c r="K13" s="17">
        <f>IF('15B elementos'!$F13=0, IF('15B elementos'!$I13=0, 0, "Indefinido"), ABS('15B elementos'!$F13-'15B elementos'!$I13)/'15B elementos'!$F13)</f>
        <v>0</v>
      </c>
      <c r="L13" s="17">
        <v>1</v>
      </c>
      <c r="M13" s="17">
        <f>'15B elementos'!$G13/'15B elementos'!$J13</f>
        <v>0.20578941147247981</v>
      </c>
    </row>
    <row r="14" spans="1:13" ht="14.25" customHeight="1">
      <c r="A14" s="17" t="s">
        <v>208</v>
      </c>
      <c r="B14" s="17" t="s">
        <v>371</v>
      </c>
      <c r="C14" s="17">
        <v>0</v>
      </c>
      <c r="D14" s="17">
        <v>13.9751169681549</v>
      </c>
      <c r="E14" s="17" t="s">
        <v>372</v>
      </c>
      <c r="F14" s="17">
        <v>0</v>
      </c>
      <c r="G14" s="17">
        <v>0.40865302085876498</v>
      </c>
      <c r="H14" s="17" t="s">
        <v>211</v>
      </c>
      <c r="I14" s="17">
        <v>0</v>
      </c>
      <c r="J14" s="17">
        <v>0.58417487144470215</v>
      </c>
      <c r="K14" s="17">
        <f>IF('15B elementos'!$F14=0, IF('15B elementos'!$I14=0, 0, "Indefinido"), ABS('15B elementos'!$F14-'15B elementos'!$I14)/'15B elementos'!$F14)</f>
        <v>0</v>
      </c>
      <c r="L14" s="17">
        <v>0</v>
      </c>
      <c r="M14" s="17">
        <f>'15B elementos'!$G14/'15B elementos'!$J14</f>
        <v>0.69953885528855375</v>
      </c>
    </row>
    <row r="15" spans="1:13" ht="14.25" customHeight="1">
      <c r="A15" s="17" t="s">
        <v>212</v>
      </c>
      <c r="B15" s="17" t="s">
        <v>373</v>
      </c>
      <c r="C15" s="17">
        <v>0</v>
      </c>
      <c r="D15" s="17">
        <v>168.130113601685</v>
      </c>
      <c r="E15" s="17" t="s">
        <v>374</v>
      </c>
      <c r="F15" s="17">
        <v>0</v>
      </c>
      <c r="G15" s="17">
        <v>0.38778162002563499</v>
      </c>
      <c r="H15" s="17" t="s">
        <v>215</v>
      </c>
      <c r="I15" s="17">
        <v>0</v>
      </c>
      <c r="J15" s="17">
        <v>2.183775663375854</v>
      </c>
      <c r="K15" s="17">
        <f>IF('15B elementos'!$F15=0, IF('15B elementos'!$I15=0, 0, "Indefinido"), ABS('15B elementos'!$F15-'15B elementos'!$I15)/'15B elementos'!$F15)</f>
        <v>0</v>
      </c>
      <c r="L15" s="17">
        <v>0</v>
      </c>
      <c r="M15" s="17">
        <f>'15B elementos'!$G15/'15B elementos'!$J15</f>
        <v>0.17757392690518922</v>
      </c>
    </row>
    <row r="16" spans="1:13" ht="14.25" customHeight="1">
      <c r="A16" s="17" t="s">
        <v>216</v>
      </c>
      <c r="B16" s="17" t="s">
        <v>375</v>
      </c>
      <c r="C16" s="17">
        <v>0</v>
      </c>
      <c r="D16" s="17">
        <v>10.964420080184899</v>
      </c>
      <c r="E16" s="17" t="s">
        <v>376</v>
      </c>
      <c r="F16" s="17">
        <v>0</v>
      </c>
      <c r="G16" s="17">
        <v>0.34797620773315402</v>
      </c>
      <c r="H16" s="17" t="s">
        <v>219</v>
      </c>
      <c r="I16" s="17">
        <v>0</v>
      </c>
      <c r="J16" s="17">
        <v>0.1136806011199951</v>
      </c>
      <c r="K16" s="17">
        <f>IF('15B elementos'!$F16=0, IF('15B elementos'!$I16=0, 0, "Indefinido"), ABS('15B elementos'!$F16-'15B elementos'!$I16)/'15B elementos'!$F16)</f>
        <v>0</v>
      </c>
      <c r="L16" s="17">
        <v>0</v>
      </c>
      <c r="M16" s="17">
        <f>'15B elementos'!$G16/'15B elementos'!$J16</f>
        <v>3.0609990121872168</v>
      </c>
    </row>
    <row r="17" spans="1:13" ht="14.25" customHeight="1">
      <c r="A17" s="17" t="s">
        <v>220</v>
      </c>
      <c r="B17" s="17" t="s">
        <v>377</v>
      </c>
      <c r="C17" s="17">
        <v>0</v>
      </c>
      <c r="D17" s="17">
        <v>11.269991159439099</v>
      </c>
      <c r="E17" s="17" t="s">
        <v>222</v>
      </c>
      <c r="F17" s="17">
        <v>0</v>
      </c>
      <c r="G17" s="17">
        <v>0.432567358016968</v>
      </c>
      <c r="H17" s="17" t="s">
        <v>223</v>
      </c>
      <c r="I17" s="17">
        <v>0</v>
      </c>
      <c r="J17" s="17">
        <v>1.6818544864654541</v>
      </c>
      <c r="K17" s="17">
        <f>IF('15B elementos'!$F17=0, IF('15B elementos'!$I17=0, 0, "Indefinido"), ABS('15B elementos'!$F17-'15B elementos'!$I17)/'15B elementos'!$F17)</f>
        <v>0</v>
      </c>
      <c r="L17" s="17">
        <v>1</v>
      </c>
      <c r="M17" s="17">
        <f>'15B elementos'!$G17/'15B elementos'!$J17</f>
        <v>0.25719666088713855</v>
      </c>
    </row>
    <row r="18" spans="1:13" ht="14.25" customHeight="1">
      <c r="A18" s="17" t="s">
        <v>224</v>
      </c>
      <c r="B18" s="17" t="s">
        <v>378</v>
      </c>
      <c r="C18" s="17">
        <v>0</v>
      </c>
      <c r="D18" s="17">
        <v>10.3738172054291</v>
      </c>
      <c r="E18" s="17" t="s">
        <v>379</v>
      </c>
      <c r="F18" s="17">
        <v>0</v>
      </c>
      <c r="G18" s="17">
        <v>0.31706047058105502</v>
      </c>
      <c r="H18" s="17" t="s">
        <v>227</v>
      </c>
      <c r="I18" s="17">
        <v>0</v>
      </c>
      <c r="J18" s="17">
        <v>0.58104157447814941</v>
      </c>
      <c r="K18" s="17">
        <f>IF('15B elementos'!$F18=0, IF('15B elementos'!$I18=0, 0, "Indefinido"), ABS('15B elementos'!$F18-'15B elementos'!$I18)/'15B elementos'!$F18)</f>
        <v>0</v>
      </c>
      <c r="L18" s="17">
        <v>0</v>
      </c>
      <c r="M18" s="17">
        <f>'15B elementos'!$G18/'15B elementos'!$J18</f>
        <v>0.54567604885384735</v>
      </c>
    </row>
    <row r="19" spans="1:13" ht="14.25" customHeight="1">
      <c r="A19" s="17" t="s">
        <v>228</v>
      </c>
      <c r="B19" s="17" t="s">
        <v>380</v>
      </c>
      <c r="C19" s="17">
        <v>0</v>
      </c>
      <c r="D19" s="17">
        <v>2.0651617050170898</v>
      </c>
      <c r="E19" s="17" t="s">
        <v>381</v>
      </c>
      <c r="F19" s="17">
        <v>0</v>
      </c>
      <c r="G19" s="17">
        <v>0.33267545700073198</v>
      </c>
      <c r="H19" s="17" t="s">
        <v>231</v>
      </c>
      <c r="I19" s="17">
        <v>0</v>
      </c>
      <c r="J19" s="17">
        <v>1.6592803001403811</v>
      </c>
      <c r="K19" s="17">
        <f>IF('15B elementos'!$F19=0, IF('15B elementos'!$I19=0, 0, "Indefinido"), ABS('15B elementos'!$F19-'15B elementos'!$I19)/'15B elementos'!$F19)</f>
        <v>0</v>
      </c>
      <c r="L19" s="17">
        <v>0</v>
      </c>
      <c r="M19" s="17">
        <f>'15B elementos'!$G19/'15B elementos'!$J19</f>
        <v>0.20049382673475147</v>
      </c>
    </row>
    <row r="20" spans="1:13" ht="14.25" customHeight="1">
      <c r="A20" s="17" t="s">
        <v>232</v>
      </c>
      <c r="B20" s="17"/>
      <c r="C20" s="17"/>
      <c r="D20" s="17"/>
      <c r="E20" s="17" t="s">
        <v>382</v>
      </c>
      <c r="F20" s="17">
        <v>7.6055526733398405E-4</v>
      </c>
      <c r="G20" s="17">
        <v>0.50369191169738803</v>
      </c>
      <c r="H20" s="17" t="s">
        <v>234</v>
      </c>
      <c r="I20" s="17">
        <v>4.7147274017333978E-5</v>
      </c>
      <c r="J20" s="17">
        <v>0.48621320724487299</v>
      </c>
      <c r="K20" s="17">
        <f>IF('15B elementos'!$F20=0, IF('15B elementos'!$I20=0, 0, "Indefinido"), ABS('15B elementos'!$F20-'15B elementos'!$I20)/'15B elementos'!$F20)</f>
        <v>0.93800940438871472</v>
      </c>
      <c r="L20" s="17">
        <v>0</v>
      </c>
      <c r="M20" s="17">
        <f>'15B elementos'!$G20/'15B elementos'!$J20</f>
        <v>1.035948641855202</v>
      </c>
    </row>
    <row r="21" spans="1:13" ht="14.25" customHeight="1">
      <c r="A21" s="17" t="s">
        <v>235</v>
      </c>
      <c r="B21" s="17" t="s">
        <v>383</v>
      </c>
      <c r="C21" s="17">
        <v>0</v>
      </c>
      <c r="D21" s="17">
        <v>1.0048968791961701</v>
      </c>
      <c r="E21" s="17" t="s">
        <v>384</v>
      </c>
      <c r="F21" s="17">
        <v>0</v>
      </c>
      <c r="G21" s="17">
        <v>0.88586401939392101</v>
      </c>
      <c r="H21" s="17" t="s">
        <v>238</v>
      </c>
      <c r="I21" s="17">
        <v>0</v>
      </c>
      <c r="J21" s="17">
        <v>1.76085352897644</v>
      </c>
      <c r="K21" s="17">
        <f>IF('15B elementos'!$F21=0, IF('15B elementos'!$I21=0, 0, "Indefinido"), ABS('15B elementos'!$F21-'15B elementos'!$I21)/'15B elementos'!$F21)</f>
        <v>0</v>
      </c>
      <c r="L21" s="17">
        <v>0</v>
      </c>
      <c r="M21" s="17">
        <f>'15B elementos'!$G21/'15B elementos'!$J21</f>
        <v>0.50308785189467842</v>
      </c>
    </row>
    <row r="22" spans="1:13" ht="14.25" customHeight="1">
      <c r="A22" s="17" t="s">
        <v>239</v>
      </c>
      <c r="B22" s="17"/>
      <c r="C22" s="17"/>
      <c r="D22" s="17"/>
      <c r="E22" s="17" t="s">
        <v>385</v>
      </c>
      <c r="F22" s="17">
        <v>7.6055526733398405E-4</v>
      </c>
      <c r="G22" s="17">
        <v>0.260355234146118</v>
      </c>
      <c r="H22" s="17" t="s">
        <v>241</v>
      </c>
      <c r="I22" s="17">
        <v>1.337826251983643E-3</v>
      </c>
      <c r="J22" s="17">
        <v>0.49222517013549799</v>
      </c>
      <c r="K22" s="17">
        <f>IF('15B elementos'!$F22=0, IF('15B elementos'!$I22=0, 0, "Indefinido"), ABS('15B elementos'!$F22-'15B elementos'!$I22)/'15B elementos'!$F22)</f>
        <v>0.75901253918495426</v>
      </c>
      <c r="L22" s="17">
        <v>0</v>
      </c>
      <c r="M22" s="17">
        <f>'15B elementos'!$G22/'15B elementos'!$J22</f>
        <v>0.52893523115538432</v>
      </c>
    </row>
    <row r="23" spans="1:13" ht="14.25" customHeight="1">
      <c r="A23" s="17" t="s">
        <v>242</v>
      </c>
      <c r="B23" s="17"/>
      <c r="C23" s="17"/>
      <c r="D23" s="17"/>
      <c r="E23" s="17" t="s">
        <v>386</v>
      </c>
      <c r="F23" s="17">
        <v>7.6055526733398405E-4</v>
      </c>
      <c r="G23" s="17">
        <v>0.231500148773193</v>
      </c>
      <c r="H23" s="17" t="s">
        <v>244</v>
      </c>
      <c r="I23" s="17">
        <v>4.7147274017333978E-5</v>
      </c>
      <c r="J23" s="17">
        <v>2.1477293968200679</v>
      </c>
      <c r="K23" s="17">
        <f>IF('15B elementos'!$F23=0, IF('15B elementos'!$I23=0, 0, "Indefinido"), ABS('15B elementos'!$F23-'15B elementos'!$I23)/'15B elementos'!$F23)</f>
        <v>0.93800940438871472</v>
      </c>
      <c r="L23" s="17">
        <v>0</v>
      </c>
      <c r="M23" s="17">
        <f>'15B elementos'!$G23/'15B elementos'!$J23</f>
        <v>0.10778832245624265</v>
      </c>
    </row>
    <row r="24" spans="1:13" ht="14.25" customHeight="1">
      <c r="A24" s="17" t="s">
        <v>245</v>
      </c>
      <c r="B24" s="17" t="s">
        <v>387</v>
      </c>
      <c r="C24" s="17">
        <v>0</v>
      </c>
      <c r="D24" s="17">
        <v>0.89385247230529796</v>
      </c>
      <c r="E24" s="17" t="s">
        <v>388</v>
      </c>
      <c r="F24" s="17">
        <v>0</v>
      </c>
      <c r="G24" s="17">
        <v>0.33225679397583002</v>
      </c>
      <c r="H24" s="17" t="s">
        <v>248</v>
      </c>
      <c r="I24" s="17">
        <v>0</v>
      </c>
      <c r="J24" s="17">
        <v>9.5818042755126953E-2</v>
      </c>
      <c r="K24" s="17">
        <f>IF('15B elementos'!$F24=0, IF('15B elementos'!$I24=0, 0, "Indefinido"), ABS('15B elementos'!$F24-'15B elementos'!$I24)/'15B elementos'!$F24)</f>
        <v>0</v>
      </c>
      <c r="L24" s="17">
        <v>0</v>
      </c>
      <c r="M24" s="17">
        <f>'15B elementos'!$G24/'15B elementos'!$J24</f>
        <v>3.4675806812809471</v>
      </c>
    </row>
    <row r="25" spans="1:13" ht="14.25" customHeight="1">
      <c r="A25" s="17" t="s">
        <v>249</v>
      </c>
      <c r="B25" s="17" t="s">
        <v>389</v>
      </c>
      <c r="C25" s="17">
        <v>0</v>
      </c>
      <c r="D25" s="17">
        <v>0.84216713905334495</v>
      </c>
      <c r="E25" s="17" t="s">
        <v>251</v>
      </c>
      <c r="F25" s="17">
        <v>0</v>
      </c>
      <c r="G25" s="17">
        <v>0.36576628684997597</v>
      </c>
      <c r="H25" s="17" t="s">
        <v>252</v>
      </c>
      <c r="I25" s="17">
        <v>0</v>
      </c>
      <c r="J25" s="17">
        <v>1.6353416442871089</v>
      </c>
      <c r="K25" s="17">
        <f>IF('15B elementos'!$F25=0, IF('15B elementos'!$I25=0, 0, "Indefinido"), ABS('15B elementos'!$F25-'15B elementos'!$I25)/'15B elementos'!$F25)</f>
        <v>0</v>
      </c>
      <c r="L25" s="17">
        <v>1</v>
      </c>
      <c r="M25" s="17">
        <f>'15B elementos'!$G25/'15B elementos'!$J25</f>
        <v>0.22366353118184287</v>
      </c>
    </row>
    <row r="26" spans="1:13" ht="14.25" customHeight="1">
      <c r="A26" s="17" t="s">
        <v>253</v>
      </c>
      <c r="B26" s="17"/>
      <c r="C26" s="17"/>
      <c r="D26" s="17"/>
      <c r="E26" s="17" t="s">
        <v>390</v>
      </c>
      <c r="F26" s="17">
        <v>9.9778175354003906E-5</v>
      </c>
      <c r="G26" s="17">
        <v>0.346022129058838</v>
      </c>
      <c r="H26" s="17" t="s">
        <v>255</v>
      </c>
      <c r="I26" s="17">
        <v>4.1897892951965332E-3</v>
      </c>
      <c r="J26" s="17">
        <v>0.47688817977905268</v>
      </c>
      <c r="K26" s="17">
        <f>IF('15B elementos'!$F26=0, IF('15B elementos'!$I26=0, 0, "Indefinido"), ABS('15B elementos'!$F26-'15B elementos'!$I26)/'15B elementos'!$F26)</f>
        <v>40.991039426523301</v>
      </c>
      <c r="L26" s="17">
        <v>0</v>
      </c>
      <c r="M26" s="17">
        <f>'15B elementos'!$G26/'15B elementos'!$J26</f>
        <v>0.72558336258020428</v>
      </c>
    </row>
    <row r="27" spans="1:13" ht="14.25" customHeight="1">
      <c r="A27" s="17" t="s">
        <v>256</v>
      </c>
      <c r="B27" s="17"/>
      <c r="C27" s="17"/>
      <c r="D27" s="17"/>
      <c r="E27" s="17" t="s">
        <v>391</v>
      </c>
      <c r="F27" s="17">
        <v>7.6055526733398405E-4</v>
      </c>
      <c r="G27" s="17">
        <v>0.17557978630065901</v>
      </c>
      <c r="H27" s="17" t="s">
        <v>258</v>
      </c>
      <c r="I27" s="17">
        <v>1.337826251983643E-3</v>
      </c>
      <c r="J27" s="17">
        <v>0.51998758316040039</v>
      </c>
      <c r="K27" s="17">
        <f>IF('15B elementos'!$F27=0, IF('15B elementos'!$I27=0, 0, "Indefinido"), ABS('15B elementos'!$F27-'15B elementos'!$I27)/'15B elementos'!$F27)</f>
        <v>0.75901253918495426</v>
      </c>
      <c r="L27" s="17">
        <v>0</v>
      </c>
      <c r="M27" s="17">
        <f>'15B elementos'!$G27/'15B elementos'!$J27</f>
        <v>0.33766149805638335</v>
      </c>
    </row>
    <row r="28" spans="1:13" ht="14.25" customHeight="1">
      <c r="A28" s="17" t="s">
        <v>259</v>
      </c>
      <c r="B28" s="17" t="s">
        <v>392</v>
      </c>
      <c r="C28" s="17">
        <v>0</v>
      </c>
      <c r="D28" s="17">
        <v>6.8858573436737096</v>
      </c>
      <c r="E28" s="17" t="s">
        <v>393</v>
      </c>
      <c r="F28" s="17">
        <v>0</v>
      </c>
      <c r="G28" s="17">
        <v>0.46815586090087902</v>
      </c>
      <c r="H28" s="17" t="s">
        <v>262</v>
      </c>
      <c r="I28" s="17">
        <v>0</v>
      </c>
      <c r="J28" s="17">
        <v>0.1774857044219971</v>
      </c>
      <c r="K28" s="17">
        <f>IF('15B elementos'!$F28=0, IF('15B elementos'!$I28=0, 0, "Indefinido"), ABS('15B elementos'!$F28-'15B elementos'!$I28)/'15B elementos'!$F28)</f>
        <v>0</v>
      </c>
      <c r="L28" s="17">
        <v>0</v>
      </c>
      <c r="M28" s="17">
        <f>'15B elementos'!$G28/'15B elementos'!$J28</f>
        <v>2.6377102450334418</v>
      </c>
    </row>
    <row r="29" spans="1:13" ht="14.25" customHeight="1">
      <c r="A29" s="17" t="s">
        <v>263</v>
      </c>
      <c r="B29" s="17" t="s">
        <v>394</v>
      </c>
      <c r="C29" s="17">
        <v>0</v>
      </c>
      <c r="D29" s="17">
        <v>0.85863590240478505</v>
      </c>
      <c r="E29" s="17" t="s">
        <v>395</v>
      </c>
      <c r="F29" s="17">
        <v>0</v>
      </c>
      <c r="G29" s="17">
        <v>0.23533606529235801</v>
      </c>
      <c r="H29" s="17" t="s">
        <v>266</v>
      </c>
      <c r="I29" s="17">
        <v>0</v>
      </c>
      <c r="J29" s="17">
        <v>0.58939290046691895</v>
      </c>
      <c r="K29" s="17">
        <f>IF('15B elementos'!$F29=0, IF('15B elementos'!$I29=0, 0, "Indefinido"), ABS('15B elementos'!$F29-'15B elementos'!$I29)/'15B elementos'!$F29)</f>
        <v>0</v>
      </c>
      <c r="L29" s="17">
        <v>0</v>
      </c>
      <c r="M29" s="17">
        <f>'15B elementos'!$G29/'15B elementos'!$J29</f>
        <v>0.39928554467813243</v>
      </c>
    </row>
    <row r="30" spans="1:13" ht="14.25" customHeight="1">
      <c r="A30" s="17" t="s">
        <v>267</v>
      </c>
      <c r="B30" s="17"/>
      <c r="C30" s="17"/>
      <c r="D30" s="17"/>
      <c r="E30" s="17" t="s">
        <v>396</v>
      </c>
      <c r="F30" s="17">
        <v>2.0146369934081999E-4</v>
      </c>
      <c r="G30" s="17">
        <v>0.29859566688537598</v>
      </c>
      <c r="H30" s="17" t="s">
        <v>269</v>
      </c>
      <c r="I30" s="17">
        <v>7.0973634719848633E-3</v>
      </c>
      <c r="J30" s="17">
        <v>0.46513819694519037</v>
      </c>
      <c r="K30" s="17">
        <f>IF('15B elementos'!$F30=0, IF('15B elementos'!$I30=0, 0, "Indefinido"), ABS('15B elementos'!$F30-'15B elementos'!$I30)/'15B elementos'!$F30)</f>
        <v>34.228994082840295</v>
      </c>
      <c r="L30" s="17">
        <v>0</v>
      </c>
      <c r="M30" s="17">
        <f>'15B elementos'!$G30/'15B elementos'!$J30</f>
        <v>0.64195043289588416</v>
      </c>
    </row>
    <row r="31" spans="1:13" ht="14.25" customHeight="1">
      <c r="A31" s="17" t="s">
        <v>270</v>
      </c>
      <c r="B31" s="17"/>
      <c r="C31" s="17"/>
      <c r="D31" s="17"/>
      <c r="E31" s="17" t="s">
        <v>397</v>
      </c>
      <c r="F31" s="17">
        <v>9.9778175354003906E-5</v>
      </c>
      <c r="G31" s="17">
        <v>0.25478911399841297</v>
      </c>
      <c r="H31" s="17" t="s">
        <v>272</v>
      </c>
      <c r="I31" s="17">
        <v>4.1897892951965332E-3</v>
      </c>
      <c r="J31" s="17">
        <v>0.50172042846679688</v>
      </c>
      <c r="K31" s="17">
        <f>IF('15B elementos'!$F31=0, IF('15B elementos'!$I31=0, 0, "Indefinido"), ABS('15B elementos'!$F31-'15B elementos'!$I31)/'15B elementos'!$F31)</f>
        <v>40.991039426523301</v>
      </c>
      <c r="L31" s="17">
        <v>0</v>
      </c>
      <c r="M31" s="17">
        <f>'15B elementos'!$G31/'15B elementos'!$J31</f>
        <v>0.50783085467940947</v>
      </c>
    </row>
    <row r="32" spans="1:13" ht="14.25" customHeight="1">
      <c r="A32" s="17" t="s">
        <v>273</v>
      </c>
      <c r="B32" s="17"/>
      <c r="C32" s="17"/>
      <c r="D32" s="17"/>
      <c r="E32" s="17" t="s">
        <v>398</v>
      </c>
      <c r="F32" s="17">
        <v>9.9778175354003906E-5</v>
      </c>
      <c r="G32" s="17">
        <v>0.17688775062560999</v>
      </c>
      <c r="H32" s="17" t="s">
        <v>275</v>
      </c>
      <c r="I32" s="17">
        <v>4.1897892951965332E-3</v>
      </c>
      <c r="J32" s="17">
        <v>1.966452598571777E-2</v>
      </c>
      <c r="K32" s="17">
        <f>IF('15B elementos'!$F32=0, IF('15B elementos'!$I32=0, 0, "Indefinido"), ABS('15B elementos'!$F32-'15B elementos'!$I32)/'15B elementos'!$F32)</f>
        <v>40.991039426523301</v>
      </c>
      <c r="L32" s="17">
        <v>0</v>
      </c>
      <c r="M32" s="17">
        <f>'15B elementos'!$G32/'15B elementos'!$J32</f>
        <v>8.995271523660552</v>
      </c>
    </row>
    <row r="33" spans="1:13" ht="14.25" customHeight="1">
      <c r="A33" s="17" t="s">
        <v>276</v>
      </c>
      <c r="B33" s="17" t="s">
        <v>399</v>
      </c>
      <c r="C33" s="17">
        <v>0</v>
      </c>
      <c r="D33" s="17">
        <v>0.64955425262451205</v>
      </c>
      <c r="E33" s="17" t="s">
        <v>400</v>
      </c>
      <c r="F33" s="17">
        <v>0</v>
      </c>
      <c r="G33" s="17">
        <v>0.24377202987670901</v>
      </c>
      <c r="H33" s="17" t="s">
        <v>279</v>
      </c>
      <c r="I33" s="17">
        <v>0</v>
      </c>
      <c r="J33" s="17">
        <v>8.9427947998046875E-2</v>
      </c>
      <c r="K33" s="17">
        <f>IF('15B elementos'!$F33=0, IF('15B elementos'!$I33=0, 0, "Indefinido"), ABS('15B elementos'!$F33-'15B elementos'!$I33)/'15B elementos'!$F33)</f>
        <v>0</v>
      </c>
      <c r="L33" s="17">
        <v>0</v>
      </c>
      <c r="M33" s="17">
        <f>'15B elementos'!$G33/'15B elementos'!$J33</f>
        <v>2.725904321119311</v>
      </c>
    </row>
    <row r="34" spans="1:13" ht="14.25" customHeight="1">
      <c r="A34" s="17" t="s">
        <v>280</v>
      </c>
      <c r="B34" s="17" t="s">
        <v>401</v>
      </c>
      <c r="C34" s="17">
        <v>0</v>
      </c>
      <c r="D34" s="17">
        <v>0.58945560455322299</v>
      </c>
      <c r="E34" s="17" t="s">
        <v>402</v>
      </c>
      <c r="F34" s="17">
        <v>0</v>
      </c>
      <c r="G34" s="17">
        <v>0.35472273826599099</v>
      </c>
      <c r="H34" s="17" t="s">
        <v>283</v>
      </c>
      <c r="I34" s="17">
        <v>0</v>
      </c>
      <c r="J34" s="17">
        <v>9.0413570404052734E-2</v>
      </c>
      <c r="K34" s="17">
        <f>IF('15B elementos'!$F34=0, IF('15B elementos'!$I34=0, 0, "Indefinido"), ABS('15B elementos'!$F34-'15B elementos'!$I34)/'15B elementos'!$F34)</f>
        <v>0</v>
      </c>
      <c r="L34" s="17">
        <v>0</v>
      </c>
      <c r="M34" s="17">
        <f>'15B elementos'!$G34/'15B elementos'!$J34</f>
        <v>3.9233351440580955</v>
      </c>
    </row>
    <row r="35" spans="1:13" ht="14.25" customHeight="1">
      <c r="A35" s="17" t="s">
        <v>284</v>
      </c>
      <c r="B35" s="17" t="s">
        <v>403</v>
      </c>
      <c r="C35" s="17">
        <v>0</v>
      </c>
      <c r="D35" s="17">
        <v>0.70327377319335904</v>
      </c>
      <c r="E35" s="17" t="s">
        <v>404</v>
      </c>
      <c r="F35" s="17">
        <v>0</v>
      </c>
      <c r="G35" s="17">
        <v>0.82558131217956499</v>
      </c>
      <c r="H35" s="17" t="s">
        <v>287</v>
      </c>
      <c r="I35" s="17">
        <v>0</v>
      </c>
      <c r="J35" s="17">
        <v>0.16971087455749509</v>
      </c>
      <c r="K35" s="17">
        <f>IF('15B elementos'!$F35=0, IF('15B elementos'!$I35=0, 0, "Indefinido"), ABS('15B elementos'!$F35-'15B elementos'!$I35)/'15B elementos'!$F35)</f>
        <v>0</v>
      </c>
      <c r="L35" s="17">
        <v>0</v>
      </c>
      <c r="M35" s="17">
        <f>'15B elementos'!$G35/'15B elementos'!$J35</f>
        <v>4.8646341274958926</v>
      </c>
    </row>
    <row r="36" spans="1:13" ht="14.25" customHeight="1">
      <c r="A36" s="17" t="s">
        <v>288</v>
      </c>
      <c r="B36" s="17"/>
      <c r="C36" s="17"/>
      <c r="D36" s="17"/>
      <c r="E36" s="17" t="s">
        <v>405</v>
      </c>
      <c r="F36" s="17">
        <v>2.0146369934081999E-4</v>
      </c>
      <c r="G36" s="17">
        <v>0.19995927810669001</v>
      </c>
      <c r="H36" s="17" t="s">
        <v>290</v>
      </c>
      <c r="I36" s="17">
        <v>7.0973634719848633E-3</v>
      </c>
      <c r="J36" s="17">
        <v>0.37964701652526861</v>
      </c>
      <c r="K36" s="17">
        <f>IF('15B elementos'!$F36=0, IF('15B elementos'!$I36=0, 0, "Indefinido"), ABS('15B elementos'!$F36-'15B elementos'!$I36)/'15B elementos'!$F36)</f>
        <v>34.228994082840295</v>
      </c>
      <c r="L36" s="17">
        <v>0</v>
      </c>
      <c r="M36" s="17">
        <f>'15B elementos'!$G36/'15B elementos'!$J36</f>
        <v>0.52669787829975234</v>
      </c>
    </row>
    <row r="37" spans="1:13" ht="14.25" customHeight="1">
      <c r="A37" s="17" t="s">
        <v>291</v>
      </c>
      <c r="B37" s="17"/>
      <c r="C37" s="17"/>
      <c r="D37" s="17"/>
      <c r="E37" s="17" t="s">
        <v>406</v>
      </c>
      <c r="F37" s="17">
        <v>2.0146369934081999E-4</v>
      </c>
      <c r="G37" s="17">
        <v>0.17084550857544001</v>
      </c>
      <c r="H37" s="17" t="s">
        <v>293</v>
      </c>
      <c r="I37" s="17">
        <v>7.0973634719848633E-3</v>
      </c>
      <c r="J37" s="17">
        <v>0.51455140113830566</v>
      </c>
      <c r="K37" s="17">
        <f>IF('15B elementos'!$F37=0, IF('15B elementos'!$I37=0, 0, "Indefinido"), ABS('15B elementos'!$F37-'15B elementos'!$I37)/'15B elementos'!$F37)</f>
        <v>34.228994082840295</v>
      </c>
      <c r="L37" s="17">
        <v>0</v>
      </c>
      <c r="M37" s="17">
        <f>'15B elementos'!$G37/'15B elementos'!$J37</f>
        <v>0.3320280698827961</v>
      </c>
    </row>
    <row r="38" spans="1:13" ht="14.25" customHeight="1">
      <c r="A38" s="17" t="s">
        <v>294</v>
      </c>
      <c r="B38" s="17"/>
      <c r="C38" s="17"/>
      <c r="D38" s="17"/>
      <c r="E38" s="17" t="s">
        <v>407</v>
      </c>
      <c r="F38" s="17">
        <v>9.9778175354003906E-5</v>
      </c>
      <c r="G38" s="17">
        <v>0.13680934906005901</v>
      </c>
      <c r="H38" s="17" t="s">
        <v>296</v>
      </c>
      <c r="I38" s="17">
        <v>4.1897892951965332E-3</v>
      </c>
      <c r="J38" s="17">
        <v>0.35796594619750982</v>
      </c>
      <c r="K38" s="17">
        <f>IF('15B elementos'!$F38=0, IF('15B elementos'!$I38=0, 0, "Indefinido"), ABS('15B elementos'!$F38-'15B elementos'!$I38)/'15B elementos'!$F38)</f>
        <v>40.991039426523301</v>
      </c>
      <c r="L38" s="17">
        <v>0</v>
      </c>
      <c r="M38" s="17">
        <f>'15B elementos'!$G38/'15B elementos'!$J38</f>
        <v>0.38218537409302517</v>
      </c>
    </row>
    <row r="39" spans="1:13" ht="14.25" customHeight="1">
      <c r="A39" s="17" t="s">
        <v>297</v>
      </c>
      <c r="B39" s="17" t="s">
        <v>408</v>
      </c>
      <c r="C39" s="17">
        <v>0</v>
      </c>
      <c r="D39" s="17">
        <v>0.59825634956359897</v>
      </c>
      <c r="E39" s="17" t="s">
        <v>409</v>
      </c>
      <c r="F39" s="17">
        <v>0</v>
      </c>
      <c r="G39" s="17">
        <v>0.34097862243652299</v>
      </c>
      <c r="H39" s="17" t="s">
        <v>300</v>
      </c>
      <c r="I39" s="17">
        <v>0</v>
      </c>
      <c r="J39" s="17">
        <v>0.57903790473937988</v>
      </c>
      <c r="K39" s="17">
        <f>IF('15B elementos'!$F39=0, IF('15B elementos'!$I39=0, 0, "Indefinido"), ABS('15B elementos'!$F39-'15B elementos'!$I39)/'15B elementos'!$F39)</f>
        <v>0</v>
      </c>
      <c r="L39" s="17">
        <v>0</v>
      </c>
      <c r="M39" s="17">
        <f>'15B elementos'!$G39/'15B elementos'!$J39</f>
        <v>0.58887098693477524</v>
      </c>
    </row>
    <row r="40" spans="1:13" ht="14.25" customHeight="1">
      <c r="A40" s="17" t="s">
        <v>301</v>
      </c>
      <c r="B40" s="17" t="s">
        <v>410</v>
      </c>
      <c r="C40" s="17">
        <v>0</v>
      </c>
      <c r="D40" s="17">
        <v>0.58825111389160201</v>
      </c>
      <c r="E40" s="17" t="s">
        <v>411</v>
      </c>
      <c r="F40" s="17">
        <v>0</v>
      </c>
      <c r="G40" s="17">
        <v>0.35857725143432601</v>
      </c>
      <c r="H40" s="17" t="s">
        <v>304</v>
      </c>
      <c r="I40" s="17">
        <v>0</v>
      </c>
      <c r="J40" s="17">
        <v>7.8887462615966797E-2</v>
      </c>
      <c r="K40" s="17">
        <f>IF('15B elementos'!$F40=0, IF('15B elementos'!$I40=0, 0, "Indefinido"), ABS('15B elementos'!$F40-'15B elementos'!$I40)/'15B elementos'!$F40)</f>
        <v>0</v>
      </c>
      <c r="L40" s="17">
        <v>0</v>
      </c>
      <c r="M40" s="17">
        <f>'15B elementos'!$G40/'15B elementos'!$J40</f>
        <v>4.5454276198477972</v>
      </c>
    </row>
    <row r="41" spans="1:13" ht="14.25" customHeight="1">
      <c r="A41" s="17" t="s">
        <v>305</v>
      </c>
      <c r="B41" s="17" t="s">
        <v>412</v>
      </c>
      <c r="C41" s="17">
        <v>0</v>
      </c>
      <c r="D41" s="17">
        <v>0.54690814018249501</v>
      </c>
      <c r="E41" s="17" t="s">
        <v>307</v>
      </c>
      <c r="F41" s="17">
        <v>0</v>
      </c>
      <c r="G41" s="17">
        <v>0.191992282867432</v>
      </c>
      <c r="H41" s="17" t="s">
        <v>308</v>
      </c>
      <c r="I41" s="17">
        <v>0</v>
      </c>
      <c r="J41" s="17">
        <v>8.1706047058105469E-2</v>
      </c>
      <c r="K41" s="17">
        <f>IF('15B elementos'!$F41=0, IF('15B elementos'!$I41=0, 0, "Indefinido"), ABS('15B elementos'!$F41-'15B elementos'!$I41)/'15B elementos'!$F41)</f>
        <v>0</v>
      </c>
      <c r="L41" s="17">
        <v>1</v>
      </c>
      <c r="M41" s="17">
        <f>'15B elementos'!$G41/'15B elementos'!$J41</f>
        <v>2.3497928217099546</v>
      </c>
    </row>
    <row r="42" spans="1:13" ht="14.25" customHeight="1">
      <c r="A42" s="17" t="s">
        <v>309</v>
      </c>
      <c r="B42" s="17"/>
      <c r="C42" s="17"/>
      <c r="D42" s="17"/>
      <c r="E42" s="17" t="s">
        <v>413</v>
      </c>
      <c r="F42" s="17">
        <v>2.0146369934081999E-4</v>
      </c>
      <c r="G42" s="17">
        <v>0.123890161514282</v>
      </c>
      <c r="H42" s="17" t="s">
        <v>311</v>
      </c>
      <c r="I42" s="17">
        <v>7.0973634719848633E-3</v>
      </c>
      <c r="J42" s="17">
        <v>0.4558403491973877</v>
      </c>
      <c r="K42" s="17">
        <f>IF('15B elementos'!$F42=0, IF('15B elementos'!$I42=0, 0, "Indefinido"), ABS('15B elementos'!$F42-'15B elementos'!$I42)/'15B elementos'!$F42)</f>
        <v>34.228994082840295</v>
      </c>
      <c r="L42" s="17">
        <v>0</v>
      </c>
      <c r="M42" s="17">
        <f>'15B elementos'!$G42/'15B elementos'!$J42</f>
        <v>0.27178410540536674</v>
      </c>
    </row>
    <row r="43" spans="1:13" ht="14.25" customHeight="1">
      <c r="A43" s="17" t="s">
        <v>312</v>
      </c>
      <c r="B43" s="17" t="s">
        <v>414</v>
      </c>
      <c r="C43" s="17">
        <v>0</v>
      </c>
      <c r="D43" s="17">
        <v>0.54656267166137695</v>
      </c>
      <c r="E43" s="17" t="s">
        <v>415</v>
      </c>
      <c r="F43" s="17">
        <v>0</v>
      </c>
      <c r="G43" s="17">
        <v>0.151052951812744</v>
      </c>
      <c r="H43" s="17" t="s">
        <v>315</v>
      </c>
      <c r="I43" s="17">
        <v>0</v>
      </c>
      <c r="J43" s="17">
        <v>7.554173469543457E-2</v>
      </c>
      <c r="K43" s="17">
        <f>IF('15B elementos'!$F43=0, IF('15B elementos'!$I43=0, 0, "Indefinido"), ABS('15B elementos'!$F43-'15B elementos'!$I43)/'15B elementos'!$F43)</f>
        <v>0</v>
      </c>
      <c r="L43" s="17">
        <v>0</v>
      </c>
      <c r="M43" s="17">
        <f>'15B elementos'!$G43/'15B elementos'!$J43</f>
        <v>1.9995960169799094</v>
      </c>
    </row>
    <row r="44" spans="1:13" ht="14.25" customHeight="1">
      <c r="A44" s="17" t="s">
        <v>316</v>
      </c>
      <c r="B44" s="17" t="s">
        <v>416</v>
      </c>
      <c r="C44" s="17">
        <v>7.6099999999999996E-4</v>
      </c>
      <c r="D44" s="17">
        <v>164.45574426651001</v>
      </c>
      <c r="E44" s="17" t="s">
        <v>416</v>
      </c>
      <c r="F44" s="17">
        <v>7.6055526733398405E-4</v>
      </c>
      <c r="G44" s="17">
        <v>0.108468770980835</v>
      </c>
      <c r="H44" s="17" t="s">
        <v>319</v>
      </c>
      <c r="I44" s="17">
        <v>1.337826251983643E-3</v>
      </c>
      <c r="J44" s="17">
        <v>0.47032546997070313</v>
      </c>
      <c r="K44" s="17">
        <f>IF('15B elementos'!$F44=0, IF('15B elementos'!$I44=0, 0, "Indefinido"), ABS('15B elementos'!$F44-'15B elementos'!$I44)/'15B elementos'!$F44)</f>
        <v>0.75901253918495426</v>
      </c>
      <c r="L44" s="17">
        <v>0</v>
      </c>
      <c r="M44" s="17">
        <f>'15B elementos'!$G44/'15B elementos'!$J44</f>
        <v>0.2306249138231693</v>
      </c>
    </row>
    <row r="45" spans="1:13" ht="14.25" customHeight="1">
      <c r="A45" s="17" t="s">
        <v>320</v>
      </c>
      <c r="B45" s="17" t="s">
        <v>417</v>
      </c>
      <c r="C45" s="17">
        <v>1.511E-3</v>
      </c>
      <c r="D45" s="17">
        <v>37.124489545822101</v>
      </c>
      <c r="E45" s="17" t="s">
        <v>417</v>
      </c>
      <c r="F45" s="17">
        <v>1.51091814041138E-3</v>
      </c>
      <c r="G45" s="17">
        <v>0.12669181823730499</v>
      </c>
      <c r="H45" s="17" t="s">
        <v>323</v>
      </c>
      <c r="I45" s="17">
        <v>4.7147274017333978E-5</v>
      </c>
      <c r="J45" s="17">
        <v>3.3982515335083008E-2</v>
      </c>
      <c r="K45" s="17">
        <f>IF('15B elementos'!$F45=0, IF('15B elementos'!$I45=0, 0, "Indefinido"), ABS('15B elementos'!$F45-'15B elementos'!$I45)/'15B elementos'!$F45)</f>
        <v>0.96879561323918106</v>
      </c>
      <c r="L45" s="17">
        <v>0</v>
      </c>
      <c r="M45" s="17">
        <f>'15B elementos'!$G45/'15B elementos'!$J45</f>
        <v>3.7281471659194803</v>
      </c>
    </row>
    <row r="46" spans="1:13" ht="14.25" customHeight="1">
      <c r="A46" s="17" t="s">
        <v>324</v>
      </c>
      <c r="B46" s="17" t="s">
        <v>418</v>
      </c>
      <c r="C46" s="17">
        <v>1E-4</v>
      </c>
      <c r="D46" s="17">
        <v>42.072231054306002</v>
      </c>
      <c r="E46" s="17" t="s">
        <v>418</v>
      </c>
      <c r="F46" s="17">
        <v>9.9778175354003906E-5</v>
      </c>
      <c r="G46" s="17">
        <v>9.2460393905639607E-2</v>
      </c>
      <c r="H46" s="17" t="s">
        <v>327</v>
      </c>
      <c r="I46" s="17">
        <v>4.378199577331543E-3</v>
      </c>
      <c r="J46" s="17">
        <v>0.43795466423034668</v>
      </c>
      <c r="K46" s="17">
        <f>IF('15B elementos'!$F46=0, IF('15B elementos'!$I46=0, 0, "Indefinido"), ABS('15B elementos'!$F46-'15B elementos'!$I46)/'15B elementos'!$F46)</f>
        <v>42.879330943847073</v>
      </c>
      <c r="L46" s="17">
        <v>0</v>
      </c>
      <c r="M46" s="17">
        <f>'15B elementos'!$G46/'15B elementos'!$J46</f>
        <v>0.21111864185332463</v>
      </c>
    </row>
    <row r="47" spans="1:13" ht="14.25" customHeight="1">
      <c r="A47" s="17" t="s">
        <v>328</v>
      </c>
      <c r="B47" s="17" t="s">
        <v>419</v>
      </c>
      <c r="C47" s="17">
        <v>7.6099999999999996E-4</v>
      </c>
      <c r="D47" s="17">
        <v>18.499920606613198</v>
      </c>
      <c r="E47" s="17" t="s">
        <v>419</v>
      </c>
      <c r="F47" s="17">
        <v>7.6055526733398405E-4</v>
      </c>
      <c r="G47" s="17">
        <v>0.111500263214111</v>
      </c>
      <c r="H47" s="17" t="s">
        <v>331</v>
      </c>
      <c r="I47" s="17">
        <v>1.337826251983643E-3</v>
      </c>
      <c r="J47" s="17">
        <v>0.56252479553222656</v>
      </c>
      <c r="K47" s="17">
        <f>IF('15B elementos'!$F47=0, IF('15B elementos'!$I47=0, 0, "Indefinido"), ABS('15B elementos'!$F47-'15B elementos'!$I47)/'15B elementos'!$F47)</f>
        <v>0.75901253918495426</v>
      </c>
      <c r="L47" s="17">
        <v>0</v>
      </c>
      <c r="M47" s="17">
        <f>'15B elementos'!$G47/'15B elementos'!$J47</f>
        <v>0.19821395269983835</v>
      </c>
    </row>
    <row r="48" spans="1:13" ht="14.25" customHeight="1">
      <c r="A48" s="17" t="s">
        <v>332</v>
      </c>
      <c r="B48" s="17" t="s">
        <v>420</v>
      </c>
      <c r="C48" s="17">
        <v>2.7599999999999999E-4</v>
      </c>
      <c r="D48" s="17">
        <v>20.908878803253199</v>
      </c>
      <c r="E48" s="17" t="s">
        <v>420</v>
      </c>
      <c r="F48" s="17">
        <v>2.7585029602050798E-4</v>
      </c>
      <c r="G48" s="17">
        <v>9.5148801803588895E-2</v>
      </c>
      <c r="H48" s="17" t="s">
        <v>335</v>
      </c>
      <c r="I48" s="17">
        <v>7.0973634719848633E-3</v>
      </c>
      <c r="J48" s="17">
        <v>0.33099365234375</v>
      </c>
      <c r="K48" s="17">
        <f>IF('15B elementos'!$F48=0, IF('15B elementos'!$I48=0, 0, "Indefinido"), ABS('15B elementos'!$F48-'15B elementos'!$I48)/'15B elementos'!$F48)</f>
        <v>24.729040622299035</v>
      </c>
      <c r="L48" s="17">
        <v>0</v>
      </c>
      <c r="M48" s="17">
        <f>'15B elementos'!$G48/'15B elementos'!$J48</f>
        <v>0.28746412848054592</v>
      </c>
    </row>
    <row r="49" spans="1:13" ht="14.25" customHeight="1">
      <c r="A49" s="17" t="s">
        <v>336</v>
      </c>
      <c r="B49" s="17" t="s">
        <v>421</v>
      </c>
      <c r="C49" s="17">
        <v>3.3599999999999998E-4</v>
      </c>
      <c r="D49" s="17">
        <v>9.5897462368011492</v>
      </c>
      <c r="E49" s="17" t="s">
        <v>421</v>
      </c>
      <c r="F49" s="17">
        <v>3.3921003341674799E-4</v>
      </c>
      <c r="G49" s="17">
        <v>7.8550815582275405E-2</v>
      </c>
      <c r="H49" s="17" t="s">
        <v>339</v>
      </c>
      <c r="I49" s="17">
        <v>4.378199577331543E-3</v>
      </c>
      <c r="J49" s="17">
        <v>0.55325794219970703</v>
      </c>
      <c r="K49" s="17">
        <f>IF('15B elementos'!$F49=0, IF('15B elementos'!$I49=0, 0, "Indefinido"), ABS('15B elementos'!$F49-'15B elementos'!$I49)/'15B elementos'!$F49)</f>
        <v>11.907046213319278</v>
      </c>
      <c r="L49" s="17">
        <v>0</v>
      </c>
      <c r="M49" s="17">
        <f>'15B elementos'!$G49/'15B elementos'!$J49</f>
        <v>0.14197864972342553</v>
      </c>
    </row>
    <row r="50" spans="1:13" ht="14.25" customHeight="1">
      <c r="A50" s="17" t="s">
        <v>340</v>
      </c>
      <c r="B50" s="17" t="s">
        <v>422</v>
      </c>
      <c r="C50" s="17">
        <v>6.1700000000000004E-4</v>
      </c>
      <c r="D50" s="17">
        <v>4.97605633735657</v>
      </c>
      <c r="E50" s="17" t="s">
        <v>422</v>
      </c>
      <c r="F50" s="17">
        <v>9.5146894454956098E-4</v>
      </c>
      <c r="G50" s="17">
        <v>5.1023483276367201E-2</v>
      </c>
      <c r="H50" s="17" t="s">
        <v>343</v>
      </c>
      <c r="I50" s="17">
        <v>7.0973634719848633E-3</v>
      </c>
      <c r="J50" s="17">
        <v>0.32682037353515619</v>
      </c>
      <c r="K50" s="17">
        <f>IF('15B elementos'!$F50=0, IF('15B elementos'!$I50=0, 0, "Indefinido"), ABS('15B elementos'!$F50-'15B elementos'!$I50)/'15B elementos'!$F50)</f>
        <v>6.4593748042347903</v>
      </c>
      <c r="L50" s="17">
        <v>0</v>
      </c>
      <c r="M50" s="17">
        <f>'15B elementos'!$G50/'15B elementos'!$J50</f>
        <v>0.15612087681210177</v>
      </c>
    </row>
    <row r="51" spans="1:13" ht="14.25" customHeight="1">
      <c r="A51" s="17" t="s">
        <v>344</v>
      </c>
      <c r="B51" s="17" t="s">
        <v>423</v>
      </c>
      <c r="C51" s="17">
        <v>1E-4</v>
      </c>
      <c r="D51" s="17">
        <v>4.9245078563690203</v>
      </c>
      <c r="E51" s="17" t="s">
        <v>423</v>
      </c>
      <c r="F51" s="17">
        <v>9.9778175354003906E-5</v>
      </c>
      <c r="G51" s="17">
        <v>4.2447566986083998E-2</v>
      </c>
      <c r="H51" s="17" t="s">
        <v>347</v>
      </c>
      <c r="I51" s="17">
        <v>4.1897892951965332E-3</v>
      </c>
      <c r="J51" s="17">
        <v>0.44590139389038091</v>
      </c>
      <c r="K51" s="17">
        <f>IF('15B elementos'!$F51=0, IF('15B elementos'!$I51=0, 0, "Indefinido"), ABS('15B elementos'!$F51-'15B elementos'!$I51)/'15B elementos'!$F51)</f>
        <v>40.991039426523301</v>
      </c>
      <c r="L51" s="17">
        <v>0</v>
      </c>
      <c r="M51" s="17">
        <f>'15B elementos'!$G51/'15B elementos'!$J51</f>
        <v>9.5194963657187368E-2</v>
      </c>
    </row>
    <row r="52" spans="1:13" ht="14.25" customHeight="1">
      <c r="A52" s="17" t="s">
        <v>348</v>
      </c>
      <c r="B52" s="17" t="s">
        <v>424</v>
      </c>
      <c r="C52" s="17">
        <v>2.0100000000000001E-4</v>
      </c>
      <c r="D52" s="17">
        <v>2.72563576698303</v>
      </c>
      <c r="E52" s="17" t="s">
        <v>424</v>
      </c>
      <c r="F52" s="17">
        <v>2.0146369934081999E-4</v>
      </c>
      <c r="G52" s="17">
        <v>5.2466630935669001E-2</v>
      </c>
      <c r="H52" s="17" t="s">
        <v>351</v>
      </c>
      <c r="I52" s="17">
        <v>8.7940692901611328E-3</v>
      </c>
      <c r="J52" s="17">
        <v>0.30757808685302729</v>
      </c>
      <c r="K52" s="19">
        <f>IF('15B elementos'!$F52=0, IF('15B elementos'!$I52=0, 0, "Indefinido"), ABS('15B elementos'!$F52-'15B elementos'!$I52)/'15B elementos'!$F52)</f>
        <v>42.650887573964567</v>
      </c>
      <c r="L52" s="19">
        <v>0</v>
      </c>
      <c r="M52" s="19">
        <f>'15B elementos'!$G52/'15B elementos'!$J52</f>
        <v>0.17057987281369491</v>
      </c>
    </row>
    <row r="53" spans="1:13" ht="14.25" customHeight="1">
      <c r="K53" s="19">
        <f>SUM('15B elementos'!$K$3:$K$52)/50</f>
        <v>9.5275543640079778</v>
      </c>
      <c r="L53" s="19">
        <f>SUM('15B elementos'!$L$3:$L$52)/50</f>
        <v>0.16</v>
      </c>
      <c r="M53" s="19">
        <f>SUM('15B elementos'!$M$3:$M$52)/50</f>
        <v>1.6913893158142139</v>
      </c>
    </row>
    <row r="54" spans="1:13" ht="14.25" customHeight="1"/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spans="8:11" ht="14.25" customHeight="1"/>
    <row r="66" spans="8:11" ht="14.25" customHeight="1"/>
    <row r="67" spans="8:11" ht="14.25" customHeight="1"/>
    <row r="68" spans="8:11" ht="14.25" customHeight="1"/>
    <row r="69" spans="8:11" ht="14.25" customHeight="1"/>
    <row r="70" spans="8:11" ht="14.25" customHeight="1"/>
    <row r="71" spans="8:11" ht="14.25" customHeight="1">
      <c r="H71" s="31" t="s">
        <v>425</v>
      </c>
      <c r="I71" s="31" t="s">
        <v>426</v>
      </c>
      <c r="J71" s="31" t="s">
        <v>427</v>
      </c>
      <c r="K71" s="31" t="s">
        <v>428</v>
      </c>
    </row>
    <row r="72" spans="8:11" ht="14.25" customHeight="1">
      <c r="H72" s="32">
        <v>10</v>
      </c>
      <c r="I72" s="32">
        <v>50</v>
      </c>
      <c r="J72" s="32">
        <v>10</v>
      </c>
      <c r="K72" s="33">
        <v>1</v>
      </c>
    </row>
    <row r="73" spans="8:11" ht="14.25" customHeight="1">
      <c r="H73" s="32" t="s">
        <v>429</v>
      </c>
      <c r="I73" s="32">
        <v>50</v>
      </c>
      <c r="J73" s="32">
        <v>9</v>
      </c>
      <c r="K73" s="33">
        <v>0.9</v>
      </c>
    </row>
    <row r="74" spans="8:11" ht="14.25" customHeight="1">
      <c r="H74" s="32" t="s">
        <v>430</v>
      </c>
      <c r="I74" s="32">
        <v>50</v>
      </c>
      <c r="J74" s="32">
        <v>7</v>
      </c>
      <c r="K74" s="33">
        <v>0.7</v>
      </c>
    </row>
    <row r="75" spans="8:11" ht="14.25" customHeight="1">
      <c r="H75" s="32">
        <v>20</v>
      </c>
      <c r="I75" s="32">
        <v>50</v>
      </c>
      <c r="J75" s="32" t="s">
        <v>431</v>
      </c>
      <c r="K75" s="32" t="s">
        <v>431</v>
      </c>
    </row>
    <row r="76" spans="8:11" ht="14.25" customHeight="1"/>
    <row r="77" spans="8:11" ht="14.25" customHeight="1"/>
    <row r="78" spans="8:11" ht="14.25" customHeight="1"/>
    <row r="79" spans="8:11" ht="14.25" customHeight="1"/>
    <row r="80" spans="8:1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E1:G1"/>
    <mergeCell ref="H1:J1"/>
    <mergeCell ref="K1:L1"/>
  </mergeCells>
  <pageMargins left="0.7" right="0.7" top="0.75" bottom="0.75" header="0" footer="0"/>
  <pageSetup orientation="portrait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selection activeCell="A4" sqref="A4"/>
    </sheetView>
  </sheetViews>
  <sheetFormatPr baseColWidth="10" defaultColWidth="14.44140625" defaultRowHeight="15" customHeight="1"/>
  <cols>
    <col min="1" max="1" width="64.6640625" customWidth="1"/>
    <col min="2" max="2" width="10.6640625" customWidth="1"/>
    <col min="3" max="4" width="11.6640625" customWidth="1"/>
    <col min="5" max="5" width="19.109375" customWidth="1"/>
    <col min="6" max="6" width="14.44140625" customWidth="1"/>
    <col min="7" max="7" width="11.6640625" customWidth="1"/>
    <col min="8" max="8" width="23.44140625" customWidth="1"/>
    <col min="9" max="9" width="20.44140625" customWidth="1"/>
    <col min="10" max="10" width="29.33203125" customWidth="1"/>
    <col min="11" max="11" width="20.33203125" customWidth="1"/>
    <col min="12" max="12" width="18.88671875" customWidth="1"/>
    <col min="13" max="13" width="23.44140625" customWidth="1"/>
    <col min="14" max="25" width="10.6640625" customWidth="1"/>
  </cols>
  <sheetData>
    <row r="1" spans="1:13" ht="18.600000000000001" customHeight="1">
      <c r="A1" s="34" t="s">
        <v>432</v>
      </c>
    </row>
    <row r="2" spans="1:13" ht="19.8" customHeight="1">
      <c r="B2" s="55" t="s">
        <v>0</v>
      </c>
      <c r="C2" s="56"/>
      <c r="D2" s="57"/>
      <c r="E2" s="59" t="s">
        <v>626</v>
      </c>
      <c r="F2" s="56"/>
      <c r="G2" s="60"/>
      <c r="H2" s="58" t="s">
        <v>624</v>
      </c>
      <c r="I2" s="56"/>
      <c r="J2" s="57"/>
      <c r="K2" s="61" t="s">
        <v>1</v>
      </c>
      <c r="L2" s="60"/>
      <c r="M2" s="35" t="s">
        <v>2</v>
      </c>
    </row>
    <row r="3" spans="1:13" ht="14.25" customHeight="1">
      <c r="A3" s="36" t="s">
        <v>3</v>
      </c>
      <c r="B3" s="37" t="s">
        <v>4</v>
      </c>
      <c r="C3" s="37" t="s">
        <v>5</v>
      </c>
      <c r="D3" s="38" t="s">
        <v>6</v>
      </c>
      <c r="E3" s="39" t="s">
        <v>7</v>
      </c>
      <c r="F3" s="39" t="s">
        <v>8</v>
      </c>
      <c r="G3" s="39" t="s">
        <v>9</v>
      </c>
      <c r="H3" s="40" t="s">
        <v>7</v>
      </c>
      <c r="I3" s="23" t="s">
        <v>8</v>
      </c>
      <c r="J3" s="24" t="s">
        <v>163</v>
      </c>
      <c r="K3" s="9" t="s">
        <v>11</v>
      </c>
      <c r="L3" s="9" t="s">
        <v>12</v>
      </c>
      <c r="M3" s="9" t="s">
        <v>13</v>
      </c>
    </row>
    <row r="4" spans="1:13" ht="14.25" customHeight="1">
      <c r="A4" s="17" t="s">
        <v>433</v>
      </c>
      <c r="B4" s="17"/>
      <c r="C4" s="17"/>
      <c r="D4" s="17"/>
      <c r="E4" s="17" t="s">
        <v>434</v>
      </c>
      <c r="F4" s="17">
        <v>2.3251414299011199E-2</v>
      </c>
      <c r="G4" s="17">
        <v>995.15310215950001</v>
      </c>
      <c r="H4" s="17" t="s">
        <v>435</v>
      </c>
      <c r="I4" s="17">
        <v>7.2748363018035889E-3</v>
      </c>
      <c r="J4" s="17">
        <v>68.794543504714966</v>
      </c>
      <c r="K4" s="15">
        <f>IF('20elementos'!$F4=0,IF('20elementos'!$I4=0,0,"Indefinido"),ABS('20elementos'!$F4-'20elementos'!$I4)/'20elementos'!$F4)</f>
        <v>0.68712284731372397</v>
      </c>
      <c r="L4" s="15">
        <v>1</v>
      </c>
      <c r="M4" s="15">
        <f>'20elementos'!$G4/'20elementos'!$J4</f>
        <v>14.465581882831962</v>
      </c>
    </row>
    <row r="5" spans="1:13" ht="14.25" customHeight="1">
      <c r="A5" s="17" t="s">
        <v>436</v>
      </c>
      <c r="B5" s="17"/>
      <c r="C5" s="17"/>
      <c r="D5" s="17"/>
      <c r="E5" s="17" t="s">
        <v>437</v>
      </c>
      <c r="F5" s="17">
        <v>3.8037896156311E-3</v>
      </c>
      <c r="G5" s="17">
        <v>784.23097562789906</v>
      </c>
      <c r="H5" s="17" t="s">
        <v>438</v>
      </c>
      <c r="I5" s="17">
        <v>2.8677880764007568E-3</v>
      </c>
      <c r="J5" s="17">
        <v>30.815535306930538</v>
      </c>
      <c r="K5" s="17">
        <f>IF('20elementos'!$F5=0,IF('20elementos'!$I5=0,0,"Indefinido"),ABS('20elementos'!$F5-'20elementos'!$I5)/'20elementos'!$F5)</f>
        <v>0.24607079618283462</v>
      </c>
      <c r="L5" s="17">
        <v>1</v>
      </c>
      <c r="M5" s="17">
        <f>'20elementos'!$G5/'20elementos'!$J5</f>
        <v>25.449208258651353</v>
      </c>
    </row>
    <row r="6" spans="1:13" ht="14.25" customHeight="1">
      <c r="A6" s="17" t="s">
        <v>439</v>
      </c>
      <c r="B6" s="17"/>
      <c r="C6" s="17"/>
      <c r="D6" s="17"/>
      <c r="E6" s="17" t="s">
        <v>440</v>
      </c>
      <c r="F6" s="17">
        <v>4.4668018817901597E-2</v>
      </c>
      <c r="G6" s="17">
        <v>787.44592046737705</v>
      </c>
      <c r="H6" s="17" t="s">
        <v>441</v>
      </c>
      <c r="I6" s="17">
        <v>4.4668018817901611E-2</v>
      </c>
      <c r="J6" s="17">
        <v>29.194426298141479</v>
      </c>
      <c r="K6" s="17">
        <f>IF('20elementos'!$F6=0,IF('20elementos'!$I6=0,0,"Indefinido"),ABS('20elementos'!$F6-'20elementos'!$I6)/'20elementos'!$F6)</f>
        <v>3.1068733682570799E-16</v>
      </c>
      <c r="L6" s="17">
        <v>1</v>
      </c>
      <c r="M6" s="17">
        <f>'20elementos'!$G6/'20elementos'!$J6</f>
        <v>26.972474554757937</v>
      </c>
    </row>
    <row r="7" spans="1:13" ht="14.25" customHeight="1">
      <c r="A7" s="17" t="s">
        <v>442</v>
      </c>
      <c r="B7" s="17"/>
      <c r="C7" s="17"/>
      <c r="D7" s="17"/>
      <c r="E7" s="17" t="s">
        <v>443</v>
      </c>
      <c r="F7" s="17">
        <v>7.2748363018035897E-3</v>
      </c>
      <c r="G7" s="17">
        <v>957.99693751335099</v>
      </c>
      <c r="H7" s="17" t="s">
        <v>444</v>
      </c>
      <c r="I7" s="17">
        <v>7.2748363018035889E-3</v>
      </c>
      <c r="J7" s="17">
        <v>60.598030567169189</v>
      </c>
      <c r="K7" s="17">
        <f>IF('20elementos'!$F7=0,IF('20elementos'!$I7=0,0,"Indefinido"),ABS('20elementos'!$F7-'20elementos'!$I7)/'20elementos'!$F7)</f>
        <v>1.1922766396453015E-16</v>
      </c>
      <c r="L7" s="17">
        <v>1</v>
      </c>
      <c r="M7" s="17">
        <f>'20elementos'!$G7/'20elementos'!$J7</f>
        <v>15.809044098412906</v>
      </c>
    </row>
    <row r="8" spans="1:13" ht="14.25" customHeight="1">
      <c r="A8" s="17" t="s">
        <v>445</v>
      </c>
      <c r="B8" s="17"/>
      <c r="C8" s="17"/>
      <c r="D8" s="17"/>
      <c r="E8" s="17" t="s">
        <v>446</v>
      </c>
      <c r="F8" s="17">
        <v>2.3251414299011199E-2</v>
      </c>
      <c r="G8" s="17">
        <v>966.76865696906998</v>
      </c>
      <c r="H8" s="17" t="s">
        <v>447</v>
      </c>
      <c r="I8" s="17">
        <v>7.2748363018035889E-3</v>
      </c>
      <c r="J8" s="17">
        <v>68.314605474472046</v>
      </c>
      <c r="K8" s="17">
        <f>IF('20elementos'!$F8=0,IF('20elementos'!$I8=0,0,"Indefinido"),ABS('20elementos'!$F8-'20elementos'!$I8)/'20elementos'!$F8)</f>
        <v>0.68712284731372397</v>
      </c>
      <c r="L8" s="17">
        <v>1</v>
      </c>
      <c r="M8" s="17">
        <f>'20elementos'!$G8/'20elementos'!$J8</f>
        <v>14.151712510882234</v>
      </c>
    </row>
    <row r="9" spans="1:13" ht="14.25" customHeight="1">
      <c r="A9" s="17" t="s">
        <v>448</v>
      </c>
      <c r="B9" s="17"/>
      <c r="C9" s="17"/>
      <c r="D9" s="17"/>
      <c r="E9" s="17" t="s">
        <v>449</v>
      </c>
      <c r="F9" s="17">
        <v>1.49129033088684E-2</v>
      </c>
      <c r="G9" s="17">
        <v>699.068212032318</v>
      </c>
      <c r="H9" s="17" t="s">
        <v>450</v>
      </c>
      <c r="I9" s="17">
        <v>1.491290330886841E-2</v>
      </c>
      <c r="J9" s="17">
        <v>17.53411865234375</v>
      </c>
      <c r="K9" s="17">
        <f>IF('20elementos'!$F9=0,IF('20elementos'!$I9=0,0,"Indefinido"),ABS('20elementos'!$F9-'20elementos'!$I9)/'20elementos'!$F9)</f>
        <v>6.9794195270287945E-16</v>
      </c>
      <c r="L9" s="17">
        <v>1</v>
      </c>
      <c r="M9" s="17">
        <f>'20elementos'!$G9/'20elementos'!$J9</f>
        <v>39.869024836265439</v>
      </c>
    </row>
    <row r="10" spans="1:13" ht="14.25" customHeight="1">
      <c r="A10" s="17" t="s">
        <v>451</v>
      </c>
      <c r="B10" s="17"/>
      <c r="C10" s="17"/>
      <c r="D10" s="17"/>
      <c r="E10" s="17" t="s">
        <v>452</v>
      </c>
      <c r="F10" s="17">
        <v>2.8677880764007599E-3</v>
      </c>
      <c r="G10" s="17">
        <v>774.71917772293102</v>
      </c>
      <c r="H10" s="17" t="s">
        <v>453</v>
      </c>
      <c r="I10" s="17">
        <v>2.8677880764007568E-3</v>
      </c>
      <c r="J10" s="17">
        <v>28.142538785934448</v>
      </c>
      <c r="K10" s="17">
        <f>IF('20elementos'!$F10=0,IF('20elementos'!$I10=0,0,"Indefinido"),ABS('20elementos'!$F10-'20elementos'!$I10)/'20elementos'!$F10)</f>
        <v>1.0585740654760916E-15</v>
      </c>
      <c r="L10" s="17">
        <v>1</v>
      </c>
      <c r="M10" s="17">
        <f>'20elementos'!$G10/'20elementos'!$J10</f>
        <v>27.528404015565688</v>
      </c>
    </row>
    <row r="11" spans="1:13" ht="14.25" customHeight="1">
      <c r="A11" s="17" t="s">
        <v>454</v>
      </c>
      <c r="B11" s="17"/>
      <c r="C11" s="17"/>
      <c r="D11" s="17"/>
      <c r="E11" s="17" t="s">
        <v>455</v>
      </c>
      <c r="F11" s="17">
        <v>4.4668018817901597E-2</v>
      </c>
      <c r="G11" s="17">
        <v>777.63958024978604</v>
      </c>
      <c r="H11" s="17" t="s">
        <v>456</v>
      </c>
      <c r="I11" s="17">
        <v>4.4668018817901611E-2</v>
      </c>
      <c r="J11" s="17">
        <v>27.18853068351746</v>
      </c>
      <c r="K11" s="17">
        <f>IF('20elementos'!$F11=0,IF('20elementos'!$I11=0,0,"Indefinido"),ABS('20elementos'!$F11-'20elementos'!$I11)/'20elementos'!$F11)</f>
        <v>3.1068733682570799E-16</v>
      </c>
      <c r="L11" s="17">
        <v>1</v>
      </c>
      <c r="M11" s="17">
        <f>'20elementos'!$G11/'20elementos'!$J11</f>
        <v>28.601750837577093</v>
      </c>
    </row>
    <row r="12" spans="1:13" ht="14.25" customHeight="1">
      <c r="A12" s="17" t="s">
        <v>457</v>
      </c>
      <c r="B12" s="17"/>
      <c r="C12" s="17"/>
      <c r="D12" s="17"/>
      <c r="E12" s="17" t="s">
        <v>458</v>
      </c>
      <c r="F12" s="17">
        <v>2.8677880764007599E-3</v>
      </c>
      <c r="G12" s="17">
        <v>773.44085383415199</v>
      </c>
      <c r="H12" s="17" t="s">
        <v>459</v>
      </c>
      <c r="I12" s="17">
        <v>2.8677880764007568E-3</v>
      </c>
      <c r="J12" s="17">
        <v>28.892688035964969</v>
      </c>
      <c r="K12" s="17">
        <f>IF('20elementos'!$F12=0,IF('20elementos'!$I12=0,0,"Indefinido"),ABS('20elementos'!$F12-'20elementos'!$I12)/'20elementos'!$F12)</f>
        <v>1.0585740654760916E-15</v>
      </c>
      <c r="L12" s="17">
        <v>1</v>
      </c>
      <c r="M12" s="17">
        <f>'20elementos'!$G12/'20elementos'!$J12</f>
        <v>26.769432213139538</v>
      </c>
    </row>
    <row r="13" spans="1:13" ht="14.25" customHeight="1">
      <c r="A13" s="17" t="s">
        <v>460</v>
      </c>
      <c r="B13" s="17"/>
      <c r="C13" s="17"/>
      <c r="D13" s="17"/>
      <c r="E13" s="17" t="s">
        <v>461</v>
      </c>
      <c r="F13" s="17">
        <v>4.4668018817901597E-2</v>
      </c>
      <c r="G13" s="17">
        <v>776.30041027069103</v>
      </c>
      <c r="H13" s="17" t="s">
        <v>462</v>
      </c>
      <c r="I13" s="17">
        <v>4.4668018817901611E-2</v>
      </c>
      <c r="J13" s="17">
        <v>27.24203085899353</v>
      </c>
      <c r="K13" s="17">
        <f>IF('20elementos'!$F13=0,IF('20elementos'!$I13=0,0,"Indefinido"),ABS('20elementos'!$F13-'20elementos'!$I13)/'20elementos'!$F13)</f>
        <v>3.1068733682570799E-16</v>
      </c>
      <c r="L13" s="17">
        <v>1</v>
      </c>
      <c r="M13" s="17">
        <f>'20elementos'!$G13/'20elementos'!$J13</f>
        <v>28.496422101893611</v>
      </c>
    </row>
    <row r="14" spans="1:13" ht="14.25" customHeight="1">
      <c r="A14" s="17" t="s">
        <v>463</v>
      </c>
      <c r="B14" s="17"/>
      <c r="C14" s="17"/>
      <c r="D14" s="17"/>
      <c r="E14" s="17" t="s">
        <v>464</v>
      </c>
      <c r="F14" s="17">
        <v>3.2423526048660299E-2</v>
      </c>
      <c r="G14" s="17">
        <v>1191.45393300057</v>
      </c>
      <c r="H14" s="17" t="s">
        <v>465</v>
      </c>
      <c r="I14" s="17">
        <v>7.2748363018035889E-3</v>
      </c>
      <c r="J14" s="17">
        <v>68.428916692733765</v>
      </c>
      <c r="K14" s="17">
        <f>IF('20elementos'!$F14=0,IF('20elementos'!$I14=0,0,"Indefinido"),ABS('20elementos'!$F14-'20elementos'!$I14)/'20elementos'!$F14)</f>
        <v>0.77563093258624238</v>
      </c>
      <c r="L14" s="17">
        <v>1</v>
      </c>
      <c r="M14" s="17">
        <f>'20elementos'!$G14/'20elementos'!$J14</f>
        <v>17.411556262837731</v>
      </c>
    </row>
    <row r="15" spans="1:13" ht="14.25" customHeight="1">
      <c r="A15" s="17" t="s">
        <v>466</v>
      </c>
      <c r="B15" s="17"/>
      <c r="C15" s="17"/>
      <c r="D15" s="17"/>
      <c r="E15" s="17" t="s">
        <v>467</v>
      </c>
      <c r="F15" s="17">
        <v>1.54897570610046E-3</v>
      </c>
      <c r="G15" s="17">
        <v>1055.8888225555399</v>
      </c>
      <c r="H15" s="17" t="s">
        <v>468</v>
      </c>
      <c r="I15" s="17">
        <v>1.5489757061004641E-3</v>
      </c>
      <c r="J15" s="17">
        <v>31.047780513763431</v>
      </c>
      <c r="K15" s="17">
        <f>IF('20elementos'!$F15=0,IF('20elementos'!$I15=0,0,"Indefinido"),ABS('20elementos'!$F15-'20elementos'!$I15)/'20elementos'!$F15)</f>
        <v>2.6598017252426253E-15</v>
      </c>
      <c r="L15" s="17">
        <v>1</v>
      </c>
      <c r="M15" s="17">
        <f>'20elementos'!$G15/'20elementos'!$J15</f>
        <v>34.008512205484905</v>
      </c>
    </row>
    <row r="16" spans="1:13" ht="14.25" customHeight="1">
      <c r="A16" s="17" t="s">
        <v>469</v>
      </c>
      <c r="B16" s="17"/>
      <c r="C16" s="17"/>
      <c r="D16" s="17"/>
      <c r="E16" s="17" t="s">
        <v>470</v>
      </c>
      <c r="F16" s="17">
        <v>1.49129033088684E-2</v>
      </c>
      <c r="G16" s="17">
        <v>692.21895360946701</v>
      </c>
      <c r="H16" s="17" t="s">
        <v>471</v>
      </c>
      <c r="I16" s="17">
        <v>1.491290330886841E-2</v>
      </c>
      <c r="J16" s="17">
        <v>15.403097629547119</v>
      </c>
      <c r="K16" s="17">
        <f>IF('20elementos'!$F16=0,IF('20elementos'!$I16=0,0,"Indefinido"),ABS('20elementos'!$F16-'20elementos'!$I16)/'20elementos'!$F16)</f>
        <v>6.9794195270287945E-16</v>
      </c>
      <c r="L16" s="17">
        <v>1</v>
      </c>
      <c r="M16" s="17">
        <f>'20elementos'!$G16/'20elementos'!$J16</f>
        <v>44.940243206769807</v>
      </c>
    </row>
    <row r="17" spans="1:13" ht="14.25" customHeight="1">
      <c r="A17" s="17" t="s">
        <v>472</v>
      </c>
      <c r="B17" s="17"/>
      <c r="C17" s="17"/>
      <c r="D17" s="17"/>
      <c r="E17" s="17" t="s">
        <v>473</v>
      </c>
      <c r="F17" s="17">
        <v>3.3406466245651301E-2</v>
      </c>
      <c r="G17" s="17">
        <v>984.05585837364197</v>
      </c>
      <c r="H17" s="17" t="s">
        <v>474</v>
      </c>
      <c r="I17" s="17">
        <v>1.491290330886841E-2</v>
      </c>
      <c r="J17" s="17">
        <v>17.743714094161991</v>
      </c>
      <c r="K17" s="17">
        <f>IF('20elementos'!$F17=0,IF('20elementos'!$I17=0,0,"Indefinido"),ABS('20elementos'!$F17-'20elementos'!$I17)/'20elementos'!$F17)</f>
        <v>0.55359231355966299</v>
      </c>
      <c r="L17" s="17">
        <v>1</v>
      </c>
      <c r="M17" s="17">
        <f>'20elementos'!$G17/'20elementos'!$J17</f>
        <v>55.459406815927814</v>
      </c>
    </row>
    <row r="18" spans="1:13" ht="14.25" customHeight="1">
      <c r="A18" s="17" t="s">
        <v>475</v>
      </c>
      <c r="B18" s="17"/>
      <c r="C18" s="17"/>
      <c r="D18" s="17"/>
      <c r="E18" s="17" t="s">
        <v>476</v>
      </c>
      <c r="F18" s="17">
        <v>3.8037896156311E-3</v>
      </c>
      <c r="G18" s="17">
        <v>810.96218037605297</v>
      </c>
      <c r="H18" s="17" t="s">
        <v>477</v>
      </c>
      <c r="I18" s="17">
        <v>2.8677880764007568E-3</v>
      </c>
      <c r="J18" s="17">
        <v>27.451525449752811</v>
      </c>
      <c r="K18" s="17">
        <f>IF('20elementos'!$F18=0,IF('20elementos'!$I18=0,0,"Indefinido"),ABS('20elementos'!$F18-'20elementos'!$I18)/'20elementos'!$F18)</f>
        <v>0.24607079618283462</v>
      </c>
      <c r="L18" s="17">
        <v>1</v>
      </c>
      <c r="M18" s="17">
        <f>'20elementos'!$G18/'20elementos'!$J18</f>
        <v>29.541607145309126</v>
      </c>
    </row>
    <row r="19" spans="1:13" ht="14.25" customHeight="1">
      <c r="A19" s="17" t="s">
        <v>478</v>
      </c>
      <c r="B19" s="17"/>
      <c r="C19" s="17"/>
      <c r="D19" s="17"/>
      <c r="E19" s="17" t="s">
        <v>479</v>
      </c>
      <c r="F19" s="17">
        <v>4.4668018817901597E-2</v>
      </c>
      <c r="G19" s="17">
        <v>893.33652520179703</v>
      </c>
      <c r="H19" s="17" t="s">
        <v>480</v>
      </c>
      <c r="I19" s="17">
        <v>4.4668018817901611E-2</v>
      </c>
      <c r="J19" s="17">
        <v>26.182022333145142</v>
      </c>
      <c r="K19" s="17">
        <f>IF('20elementos'!$F19=0,IF('20elementos'!$I19=0,0,"Indefinido"),ABS('20elementos'!$F19-'20elementos'!$I19)/'20elementos'!$F19)</f>
        <v>3.1068733682570799E-16</v>
      </c>
      <c r="L19" s="17">
        <v>1</v>
      </c>
      <c r="M19" s="17">
        <f>'20elementos'!$G19/'20elementos'!$J19</f>
        <v>34.120226231373934</v>
      </c>
    </row>
    <row r="20" spans="1:13" ht="14.25" customHeight="1">
      <c r="A20" s="17" t="s">
        <v>481</v>
      </c>
      <c r="B20" s="17"/>
      <c r="C20" s="17"/>
      <c r="D20" s="17"/>
      <c r="E20" s="17" t="s">
        <v>482</v>
      </c>
      <c r="F20" s="17">
        <v>1.49129033088684E-2</v>
      </c>
      <c r="G20" s="17">
        <v>901.62860655784596</v>
      </c>
      <c r="H20" s="17" t="s">
        <v>483</v>
      </c>
      <c r="I20" s="17">
        <v>1.491290330886841E-2</v>
      </c>
      <c r="J20" s="17">
        <v>14.79267024993896</v>
      </c>
      <c r="K20" s="17">
        <f>IF('20elementos'!$F20=0,IF('20elementos'!$I20=0,0,"Indefinido"),ABS('20elementos'!$F20-'20elementos'!$I20)/'20elementos'!$F20)</f>
        <v>6.9794195270287945E-16</v>
      </c>
      <c r="L20" s="17">
        <v>1</v>
      </c>
      <c r="M20" s="17">
        <f>'20elementos'!$G20/'20elementos'!$J20</f>
        <v>60.951038002186685</v>
      </c>
    </row>
    <row r="21" spans="1:13" ht="14.25" customHeight="1">
      <c r="A21" s="17" t="s">
        <v>484</v>
      </c>
      <c r="B21" s="17"/>
      <c r="C21" s="17"/>
      <c r="D21" s="17"/>
      <c r="E21" s="17" t="s">
        <v>485</v>
      </c>
      <c r="F21" s="17">
        <v>2.8708577156066899E-3</v>
      </c>
      <c r="G21" s="17">
        <v>632.32637572288502</v>
      </c>
      <c r="H21" s="17" t="s">
        <v>486</v>
      </c>
      <c r="I21" s="17">
        <v>2.870857715606689E-3</v>
      </c>
      <c r="J21" s="17">
        <v>0.70409607887268066</v>
      </c>
      <c r="K21" s="17">
        <f>IF('20elementos'!$F21=0,IF('20elementos'!$I21=0,0,"Indefinido"),ABS('20elementos'!$F21-'20elementos'!$I21)/'20elementos'!$F21)</f>
        <v>3.021263412927821E-16</v>
      </c>
      <c r="L21" s="17">
        <v>1</v>
      </c>
      <c r="M21" s="17">
        <f>'20elementos'!$G21/'20elementos'!$J21</f>
        <v>898.06831013076339</v>
      </c>
    </row>
    <row r="22" spans="1:13" ht="14.25" customHeight="1">
      <c r="A22" s="17" t="s">
        <v>487</v>
      </c>
      <c r="B22" s="17"/>
      <c r="C22" s="17"/>
      <c r="D22" s="17"/>
      <c r="E22" s="17" t="s">
        <v>488</v>
      </c>
      <c r="F22" s="17">
        <v>2.3251414299011199E-2</v>
      </c>
      <c r="G22" s="17">
        <v>1201.95519447327</v>
      </c>
      <c r="H22" s="17" t="s">
        <v>489</v>
      </c>
      <c r="I22" s="17">
        <v>7.2748363018035889E-3</v>
      </c>
      <c r="J22" s="17">
        <v>62.244285583496087</v>
      </c>
      <c r="K22" s="17">
        <f>IF('20elementos'!$F22=0,IF('20elementos'!$I22=0,0,"Indefinido"),ABS('20elementos'!$F22-'20elementos'!$I22)/'20elementos'!$F22)</f>
        <v>0.68712284731372397</v>
      </c>
      <c r="L22" s="17">
        <v>1</v>
      </c>
      <c r="M22" s="17">
        <f>'20elementos'!$G22/'20elementos'!$J22</f>
        <v>19.310289823488077</v>
      </c>
    </row>
    <row r="23" spans="1:13" ht="14.25" customHeight="1">
      <c r="A23" s="17" t="s">
        <v>490</v>
      </c>
      <c r="B23" s="17"/>
      <c r="C23" s="17"/>
      <c r="D23" s="17"/>
      <c r="E23" s="17" t="s">
        <v>491</v>
      </c>
      <c r="F23" s="17">
        <v>2.8708577156066899E-3</v>
      </c>
      <c r="G23" s="17">
        <v>630.31495094299305</v>
      </c>
      <c r="H23" s="17" t="s">
        <v>492</v>
      </c>
      <c r="I23" s="17">
        <v>2.870857715606689E-3</v>
      </c>
      <c r="J23" s="17">
        <v>0.7004086971282959</v>
      </c>
      <c r="K23" s="17">
        <f>IF('20elementos'!$F23=0,IF('20elementos'!$I23=0,0,"Indefinido"),ABS('20elementos'!$F23-'20elementos'!$I23)/'20elementos'!$F23)</f>
        <v>3.021263412927821E-16</v>
      </c>
      <c r="L23" s="17">
        <v>1</v>
      </c>
      <c r="M23" s="17">
        <f>'20elementos'!$G23/'20elementos'!$J23</f>
        <v>899.92450625943104</v>
      </c>
    </row>
    <row r="24" spans="1:13" ht="14.25" customHeight="1">
      <c r="A24" s="17" t="s">
        <v>493</v>
      </c>
      <c r="B24" s="17"/>
      <c r="C24" s="17"/>
      <c r="D24" s="17"/>
      <c r="E24" s="17" t="s">
        <v>494</v>
      </c>
      <c r="F24" s="17">
        <v>2.8708577156066899E-3</v>
      </c>
      <c r="G24" s="17">
        <v>633.81702423095703</v>
      </c>
      <c r="H24" s="17" t="s">
        <v>495</v>
      </c>
      <c r="I24" s="17">
        <v>2.870857715606689E-3</v>
      </c>
      <c r="J24" s="17">
        <v>3.448030948638916</v>
      </c>
      <c r="K24" s="17">
        <f>IF('20elementos'!$F24=0,IF('20elementos'!$I24=0,0,"Indefinido"),ABS('20elementos'!$F24-'20elementos'!$I24)/'20elementos'!$F24)</f>
        <v>3.021263412927821E-16</v>
      </c>
      <c r="L24" s="17">
        <v>1</v>
      </c>
      <c r="M24" s="17">
        <f>'20elementos'!$G24/'20elementos'!$J24</f>
        <v>183.81999282261415</v>
      </c>
    </row>
    <row r="25" spans="1:13" ht="14.25" customHeight="1">
      <c r="A25" s="17" t="s">
        <v>496</v>
      </c>
      <c r="B25" s="17"/>
      <c r="C25" s="17"/>
      <c r="D25" s="17"/>
      <c r="E25" s="17" t="s">
        <v>497</v>
      </c>
      <c r="F25" s="17">
        <v>3.8037896156311E-3</v>
      </c>
      <c r="G25" s="17">
        <v>1054.4978494644199</v>
      </c>
      <c r="H25" s="17" t="s">
        <v>498</v>
      </c>
      <c r="I25" s="17">
        <v>2.8677880764007568E-3</v>
      </c>
      <c r="J25" s="17">
        <v>31.517241239547729</v>
      </c>
      <c r="K25" s="17">
        <f>IF('20elementos'!$F25=0,IF('20elementos'!$I25=0,0,"Indefinido"),ABS('20elementos'!$F25-'20elementos'!$I25)/'20elementos'!$F25)</f>
        <v>0.24607079618283462</v>
      </c>
      <c r="L25" s="17">
        <v>1</v>
      </c>
      <c r="M25" s="17">
        <f>'20elementos'!$G25/'20elementos'!$J25</f>
        <v>33.457809376451372</v>
      </c>
    </row>
    <row r="26" spans="1:13" ht="14.25" customHeight="1">
      <c r="A26" s="17" t="s">
        <v>499</v>
      </c>
      <c r="B26" s="17"/>
      <c r="C26" s="17"/>
      <c r="D26" s="17"/>
      <c r="E26" s="17" t="s">
        <v>500</v>
      </c>
      <c r="F26" s="17">
        <v>7.1261525154113797E-2</v>
      </c>
      <c r="G26" s="17">
        <v>1025.2442567348501</v>
      </c>
      <c r="H26" s="17" t="s">
        <v>501</v>
      </c>
      <c r="I26" s="17">
        <v>7.126152515411377E-2</v>
      </c>
      <c r="J26" s="17">
        <v>26.018165826797489</v>
      </c>
      <c r="K26" s="17">
        <f>IF('20elementos'!$F26=0,IF('20elementos'!$I26=0,0,"Indefinido"),ABS('20elementos'!$F26-'20elementos'!$I26)/'20elementos'!$F26)</f>
        <v>3.8948893607880682E-16</v>
      </c>
      <c r="L26" s="17">
        <v>1</v>
      </c>
      <c r="M26" s="17">
        <f>'20elementos'!$G26/'20elementos'!$J26</f>
        <v>39.404939747093806</v>
      </c>
    </row>
    <row r="27" spans="1:13" ht="14.25" customHeight="1">
      <c r="A27" s="17" t="s">
        <v>502</v>
      </c>
      <c r="B27" s="17"/>
      <c r="C27" s="17"/>
      <c r="D27" s="17"/>
      <c r="E27" s="17" t="s">
        <v>503</v>
      </c>
      <c r="F27" s="17">
        <v>2.8708577156066899E-3</v>
      </c>
      <c r="G27" s="17">
        <v>641.58524274826004</v>
      </c>
      <c r="H27" s="17" t="s">
        <v>504</v>
      </c>
      <c r="I27" s="17">
        <v>2.870857715606689E-3</v>
      </c>
      <c r="J27" s="17">
        <v>0.76372313499450684</v>
      </c>
      <c r="K27" s="17">
        <f>IF('20elementos'!$F27=0,IF('20elementos'!$I27=0,0,"Indefinido"),ABS('20elementos'!$F27-'20elementos'!$I27)/'20elementos'!$F27)</f>
        <v>3.021263412927821E-16</v>
      </c>
      <c r="L27" s="17">
        <v>1</v>
      </c>
      <c r="M27" s="17">
        <f>'20elementos'!$G27/'20elementos'!$J27</f>
        <v>840.07569412294254</v>
      </c>
    </row>
    <row r="28" spans="1:13" ht="14.25" customHeight="1">
      <c r="A28" s="17" t="s">
        <v>505</v>
      </c>
      <c r="B28" s="17"/>
      <c r="C28" s="17"/>
      <c r="D28" s="17"/>
      <c r="E28" s="17" t="s">
        <v>506</v>
      </c>
      <c r="F28" s="17">
        <v>4.6014785766601597E-2</v>
      </c>
      <c r="G28" s="17">
        <v>869.88625502586399</v>
      </c>
      <c r="H28" s="17" t="s">
        <v>507</v>
      </c>
      <c r="I28" s="17">
        <v>4.6014785766601563E-2</v>
      </c>
      <c r="J28" s="17">
        <v>11.548499822616581</v>
      </c>
      <c r="K28" s="17">
        <f>IF('20elementos'!$F28=0,IF('20elementos'!$I28=0,0,"Indefinido"),ABS('20elementos'!$F28-'20elementos'!$I28)/'20elementos'!$F28)</f>
        <v>7.5398524499310054E-16</v>
      </c>
      <c r="L28" s="17">
        <v>1</v>
      </c>
      <c r="M28" s="17">
        <f>'20elementos'!$G28/'20elementos'!$J28</f>
        <v>75.324610848785639</v>
      </c>
    </row>
    <row r="29" spans="1:13" ht="14.25" customHeight="1">
      <c r="A29" s="17" t="s">
        <v>508</v>
      </c>
      <c r="B29" s="17"/>
      <c r="C29" s="17"/>
      <c r="D29" s="17"/>
      <c r="E29" s="17" t="s">
        <v>509</v>
      </c>
      <c r="F29" s="17">
        <v>1.3498067855835E-3</v>
      </c>
      <c r="G29" s="17">
        <v>623.351462364197</v>
      </c>
      <c r="H29" s="17" t="s">
        <v>510</v>
      </c>
      <c r="I29" s="17">
        <v>1.3498067855834961E-3</v>
      </c>
      <c r="J29" s="17">
        <v>0.80233049392700195</v>
      </c>
      <c r="K29" s="17">
        <f>IF('20elementos'!$F29=0,IF('20elementos'!$I29=0,0,"Indefinido"),ABS('20elementos'!$F29-'20elementos'!$I29)/'20elementos'!$F29)</f>
        <v>2.8916196470745668E-15</v>
      </c>
      <c r="L29" s="17">
        <v>1</v>
      </c>
      <c r="M29" s="17">
        <f>'20elementos'!$G29/'20elementos'!$J29</f>
        <v>776.926051150327</v>
      </c>
    </row>
    <row r="30" spans="1:13" ht="14.25" customHeight="1">
      <c r="A30" s="17" t="s">
        <v>511</v>
      </c>
      <c r="B30" s="17"/>
      <c r="C30" s="17"/>
      <c r="D30" s="17"/>
      <c r="E30" s="17" t="s">
        <v>512</v>
      </c>
      <c r="F30" s="17">
        <v>2.8255581855773899E-4</v>
      </c>
      <c r="G30" s="17">
        <v>628.43553352356003</v>
      </c>
      <c r="H30" s="17" t="s">
        <v>513</v>
      </c>
      <c r="I30" s="17">
        <v>2.8255581855773931E-4</v>
      </c>
      <c r="J30" s="17">
        <v>2.2449016571044922</v>
      </c>
      <c r="K30" s="17">
        <f>IF('20elementos'!$F30=0,IF('20elementos'!$I30=0,0,"Indefinido"),ABS('20elementos'!$F30-'20elementos'!$I30)/'20elementos'!$F30)</f>
        <v>1.1511376881420894E-15</v>
      </c>
      <c r="L30" s="17">
        <v>1</v>
      </c>
      <c r="M30" s="17">
        <f>'20elementos'!$G30/'20elementos'!$J30</f>
        <v>279.93900380212006</v>
      </c>
    </row>
    <row r="31" spans="1:13" ht="14.25" customHeight="1">
      <c r="A31" s="17" t="s">
        <v>514</v>
      </c>
      <c r="B31" s="17"/>
      <c r="C31" s="17"/>
      <c r="D31" s="17"/>
      <c r="E31" s="17" t="s">
        <v>515</v>
      </c>
      <c r="F31" s="17">
        <v>7.2748363018035897E-3</v>
      </c>
      <c r="G31" s="17">
        <v>910.15849280357395</v>
      </c>
      <c r="H31" s="17" t="s">
        <v>516</v>
      </c>
      <c r="I31" s="17">
        <v>7.2748363018035889E-3</v>
      </c>
      <c r="J31" s="17">
        <v>46.439979553222663</v>
      </c>
      <c r="K31" s="17">
        <f>IF('20elementos'!$F31=0,IF('20elementos'!$I31=0,0,"Indefinido"),ABS('20elementos'!$F31-'20elementos'!$I31)/'20elementos'!$F31)</f>
        <v>1.1922766396453015E-16</v>
      </c>
      <c r="L31" s="17">
        <v>1</v>
      </c>
      <c r="M31" s="17">
        <f>'20elementos'!$G31/'20elementos'!$J31</f>
        <v>19.598598051932481</v>
      </c>
    </row>
    <row r="32" spans="1:13" ht="14.25" customHeight="1">
      <c r="A32" s="17" t="s">
        <v>517</v>
      </c>
      <c r="B32" s="17"/>
      <c r="C32" s="17"/>
      <c r="D32" s="17"/>
      <c r="E32" s="17" t="s">
        <v>518</v>
      </c>
      <c r="F32" s="17">
        <v>2.3251414299011199E-2</v>
      </c>
      <c r="G32" s="17">
        <v>787.17328715324402</v>
      </c>
      <c r="H32" s="17" t="s">
        <v>519</v>
      </c>
      <c r="I32" s="17">
        <v>2.325141429901123E-2</v>
      </c>
      <c r="J32" s="17">
        <v>48.804084777832031</v>
      </c>
      <c r="K32" s="17">
        <f>IF('20elementos'!$F32=0,IF('20elementos'!$I32=0,0,"Indefinido"),ABS('20elementos'!$F32-'20elementos'!$I32)/'20elementos'!$F32)</f>
        <v>1.3429300328156993E-15</v>
      </c>
      <c r="L32" s="17">
        <v>1</v>
      </c>
      <c r="M32" s="17">
        <f>'20elementos'!$G32/'20elementos'!$J32</f>
        <v>16.129250056355872</v>
      </c>
    </row>
    <row r="33" spans="1:13" ht="14.25" customHeight="1">
      <c r="A33" s="17" t="s">
        <v>520</v>
      </c>
      <c r="B33" s="17"/>
      <c r="C33" s="17"/>
      <c r="D33" s="17"/>
      <c r="E33" s="17" t="s">
        <v>521</v>
      </c>
      <c r="F33" s="17">
        <v>2.21213698387146E-3</v>
      </c>
      <c r="G33" s="17">
        <v>625.46701645851101</v>
      </c>
      <c r="H33" s="17" t="s">
        <v>522</v>
      </c>
      <c r="I33" s="17">
        <v>1.3498067855834961E-3</v>
      </c>
      <c r="J33" s="17">
        <v>1.5981090068817141</v>
      </c>
      <c r="K33" s="17">
        <f>IF('20elementos'!$F33=0,IF('20elementos'!$I33=0,0,"Indefinido"),ABS('20elementos'!$F33-'20elementos'!$I33)/'20elementos'!$F33)</f>
        <v>0.38981772131434655</v>
      </c>
      <c r="L33" s="17">
        <v>1</v>
      </c>
      <c r="M33" s="17">
        <f>'20elementos'!$G33/'20elementos'!$J33</f>
        <v>391.37944518499648</v>
      </c>
    </row>
    <row r="34" spans="1:13" ht="14.25" customHeight="1">
      <c r="A34" s="17" t="s">
        <v>523</v>
      </c>
      <c r="B34" s="17"/>
      <c r="C34" s="17"/>
      <c r="D34" s="17"/>
      <c r="E34" s="17" t="s">
        <v>524</v>
      </c>
      <c r="F34" s="17">
        <v>2.8255581855773899E-4</v>
      </c>
      <c r="G34" s="17">
        <v>625.54011487960804</v>
      </c>
      <c r="H34" s="17" t="s">
        <v>525</v>
      </c>
      <c r="I34" s="17">
        <v>2.8255581855773931E-4</v>
      </c>
      <c r="J34" s="17">
        <v>1.1405351161956789</v>
      </c>
      <c r="K34" s="17">
        <f>IF('20elementos'!$F34=0,IF('20elementos'!$I34=0,0,"Indefinido"),ABS('20elementos'!$F34-'20elementos'!$I34)/'20elementos'!$F34)</f>
        <v>1.1511376881420894E-15</v>
      </c>
      <c r="L34" s="17">
        <v>1</v>
      </c>
      <c r="M34" s="17">
        <f>'20elementos'!$G34/'20elementos'!$J34</f>
        <v>548.46195088331297</v>
      </c>
    </row>
    <row r="35" spans="1:13" ht="14.25" customHeight="1">
      <c r="A35" s="17" t="s">
        <v>526</v>
      </c>
      <c r="B35" s="17"/>
      <c r="C35" s="17"/>
      <c r="D35" s="17"/>
      <c r="E35" s="17" t="s">
        <v>527</v>
      </c>
      <c r="F35" s="17">
        <v>1.5623271465301501E-3</v>
      </c>
      <c r="G35" s="17">
        <v>934.18996953964199</v>
      </c>
      <c r="H35" s="17" t="s">
        <v>528</v>
      </c>
      <c r="I35" s="17">
        <v>1.3498067855834961E-3</v>
      </c>
      <c r="J35" s="17">
        <v>8.648371696472168E-2</v>
      </c>
      <c r="K35" s="17">
        <f>IF('20elementos'!$F35=0,IF('20elementos'!$I35=0,0,"Indefinido"),ABS('20elementos'!$F35-'20elementos'!$I35)/'20elementos'!$F35)</f>
        <v>0.1360280792781787</v>
      </c>
      <c r="L35" s="17">
        <v>1</v>
      </c>
      <c r="M35" s="17">
        <f>'20elementos'!$G35/'20elementos'!$J35</f>
        <v>10801.917428233519</v>
      </c>
    </row>
    <row r="36" spans="1:13" ht="14.25" customHeight="1">
      <c r="A36" s="17" t="s">
        <v>529</v>
      </c>
      <c r="B36" s="17"/>
      <c r="C36" s="17"/>
      <c r="D36" s="17"/>
      <c r="E36" s="17" t="s">
        <v>530</v>
      </c>
      <c r="F36" s="17">
        <v>5.4436922073364301E-4</v>
      </c>
      <c r="G36" s="17">
        <v>7.5050284862518302</v>
      </c>
      <c r="H36" s="17" t="s">
        <v>531</v>
      </c>
      <c r="I36" s="17">
        <v>2.8255581855773931E-4</v>
      </c>
      <c r="J36" s="17">
        <v>1.67835545539856</v>
      </c>
      <c r="K36" s="17">
        <f>IF('20elementos'!$F36=0,IF('20elementos'!$I36=0,0,"Indefinido"),ABS('20elementos'!$F36-'20elementos'!$I36)/'20elementos'!$F36)</f>
        <v>0.48094820978867875</v>
      </c>
      <c r="L36" s="17">
        <v>1</v>
      </c>
      <c r="M36" s="17">
        <f>'20elementos'!$G36/'20elementos'!$J36</f>
        <v>4.4716561453721413</v>
      </c>
    </row>
    <row r="37" spans="1:13" ht="14.25" customHeight="1">
      <c r="A37" s="17" t="s">
        <v>532</v>
      </c>
      <c r="B37" s="17"/>
      <c r="C37" s="17"/>
      <c r="D37" s="17"/>
      <c r="E37" s="17" t="s">
        <v>533</v>
      </c>
      <c r="F37" s="17">
        <v>2.8677880764007599E-3</v>
      </c>
      <c r="G37" s="17">
        <v>696.60969996452297</v>
      </c>
      <c r="H37" s="17" t="s">
        <v>534</v>
      </c>
      <c r="I37" s="17">
        <v>2.8677880764007568E-3</v>
      </c>
      <c r="J37" s="17">
        <v>21.25754618644714</v>
      </c>
      <c r="K37" s="17">
        <f>IF('20elementos'!$F37=0,IF('20elementos'!$I37=0,0,"Indefinido"),ABS('20elementos'!$F37-'20elementos'!$I37)/'20elementos'!$F37)</f>
        <v>1.0585740654760916E-15</v>
      </c>
      <c r="L37" s="17">
        <v>1</v>
      </c>
      <c r="M37" s="17">
        <f>'20elementos'!$G37/'20elementos'!$J37</f>
        <v>32.769995833698346</v>
      </c>
    </row>
    <row r="38" spans="1:13" ht="14.25" customHeight="1">
      <c r="A38" s="17" t="s">
        <v>535</v>
      </c>
      <c r="B38" s="17"/>
      <c r="C38" s="17"/>
      <c r="D38" s="17"/>
      <c r="E38" s="17" t="s">
        <v>536</v>
      </c>
      <c r="F38" s="17">
        <v>0.101907908916473</v>
      </c>
      <c r="G38" s="17">
        <v>696.39616656303394</v>
      </c>
      <c r="H38" s="17" t="s">
        <v>537</v>
      </c>
      <c r="I38" s="17">
        <v>0.1019079089164734</v>
      </c>
      <c r="J38" s="17">
        <v>24.30158257484436</v>
      </c>
      <c r="K38" s="17">
        <f>IF('20elementos'!$F38=0,IF('20elementos'!$I38=0,0,"Indefinido"),ABS('20elementos'!$F38-'20elementos'!$I38)/'20elementos'!$F38)</f>
        <v>3.9492111133051015E-15</v>
      </c>
      <c r="L38" s="17">
        <v>1</v>
      </c>
      <c r="M38" s="17">
        <f>'20elementos'!$G38/'20elementos'!$J38</f>
        <v>28.656412166502452</v>
      </c>
    </row>
    <row r="39" spans="1:13" ht="14.25" customHeight="1">
      <c r="A39" s="17" t="s">
        <v>538</v>
      </c>
      <c r="B39" s="17"/>
      <c r="C39" s="17"/>
      <c r="D39" s="17"/>
      <c r="E39" s="17" t="s">
        <v>539</v>
      </c>
      <c r="F39" s="17">
        <v>6.9466561079025296E-2</v>
      </c>
      <c r="G39" s="17">
        <v>697.52647233009304</v>
      </c>
      <c r="H39" s="17" t="s">
        <v>540</v>
      </c>
      <c r="I39" s="17">
        <v>6.9466561079025269E-2</v>
      </c>
      <c r="J39" s="17">
        <v>12.917327165603639</v>
      </c>
      <c r="K39" s="17">
        <f>IF('20elementos'!$F39=0,IF('20elementos'!$I39=0,0,"Indefinido"),ABS('20elementos'!$F39-'20elementos'!$I39)/'20elementos'!$F39)</f>
        <v>3.9955303939767674E-16</v>
      </c>
      <c r="L39" s="17">
        <v>1</v>
      </c>
      <c r="M39" s="17">
        <f>'20elementos'!$G39/'20elementos'!$J39</f>
        <v>53.999288195430402</v>
      </c>
    </row>
    <row r="40" spans="1:13" ht="14.25" customHeight="1">
      <c r="A40" s="17" t="s">
        <v>541</v>
      </c>
      <c r="B40" s="17"/>
      <c r="C40" s="17"/>
      <c r="D40" s="17"/>
      <c r="E40" s="17" t="s">
        <v>542</v>
      </c>
      <c r="F40" s="17">
        <v>4.4668018817901597E-2</v>
      </c>
      <c r="G40" s="17">
        <v>698.39600276946999</v>
      </c>
      <c r="H40" s="17" t="s">
        <v>543</v>
      </c>
      <c r="I40" s="17">
        <v>4.4668018817901611E-2</v>
      </c>
      <c r="J40" s="17">
        <v>23.617360353469849</v>
      </c>
      <c r="K40" s="17">
        <f>IF('20elementos'!$F40=0,IF('20elementos'!$I40=0,0,"Indefinido"),ABS('20elementos'!$F40-'20elementos'!$I40)/'20elementos'!$F40)</f>
        <v>3.1068733682570799E-16</v>
      </c>
      <c r="L40" s="17">
        <v>1</v>
      </c>
      <c r="M40" s="17">
        <f>'20elementos'!$G40/'20elementos'!$J40</f>
        <v>29.571298075521891</v>
      </c>
    </row>
    <row r="41" spans="1:13" ht="14.25" customHeight="1">
      <c r="A41" s="17" t="s">
        <v>544</v>
      </c>
      <c r="B41" s="17"/>
      <c r="C41" s="17"/>
      <c r="D41" s="17"/>
      <c r="E41" s="17" t="s">
        <v>545</v>
      </c>
      <c r="F41" s="17">
        <v>2.21213698387146E-3</v>
      </c>
      <c r="G41" s="17">
        <v>632.522899627686</v>
      </c>
      <c r="H41" s="17" t="s">
        <v>546</v>
      </c>
      <c r="I41" s="17">
        <v>1.3498067855834961E-3</v>
      </c>
      <c r="J41" s="17">
        <v>0.53083038330078125</v>
      </c>
      <c r="K41" s="17">
        <f>IF('20elementos'!$F41=0,IF('20elementos'!$I41=0,0,"Indefinido"),ABS('20elementos'!$F41-'20elementos'!$I41)/'20elementos'!$F41)</f>
        <v>0.38981772131434655</v>
      </c>
      <c r="L41" s="17">
        <v>1</v>
      </c>
      <c r="M41" s="17">
        <f>'20elementos'!$G41/'20elementos'!$J41</f>
        <v>1191.572523966254</v>
      </c>
    </row>
    <row r="42" spans="1:13" ht="14.25" customHeight="1">
      <c r="A42" s="17" t="s">
        <v>547</v>
      </c>
      <c r="B42" s="17"/>
      <c r="C42" s="17"/>
      <c r="D42" s="17"/>
      <c r="E42" s="17" t="s">
        <v>548</v>
      </c>
      <c r="F42" s="17">
        <v>5.4436922073364301E-4</v>
      </c>
      <c r="G42" s="17">
        <v>633.41760087013199</v>
      </c>
      <c r="H42" s="17" t="s">
        <v>549</v>
      </c>
      <c r="I42" s="17">
        <v>2.8255581855773931E-4</v>
      </c>
      <c r="J42" s="17">
        <v>0.65323138236999512</v>
      </c>
      <c r="K42" s="17">
        <f>IF('20elementos'!$F42=0,IF('20elementos'!$I42=0,0,"Indefinido"),ABS('20elementos'!$F42-'20elementos'!$I42)/'20elementos'!$F42)</f>
        <v>0.48094820978867875</v>
      </c>
      <c r="L42" s="17">
        <v>1</v>
      </c>
      <c r="M42" s="17">
        <f>'20elementos'!$G42/'20elementos'!$J42</f>
        <v>969.66805019688957</v>
      </c>
    </row>
    <row r="43" spans="1:13" ht="14.25" customHeight="1">
      <c r="A43" s="17" t="s">
        <v>550</v>
      </c>
      <c r="B43" s="17"/>
      <c r="C43" s="17"/>
      <c r="D43" s="17"/>
      <c r="E43" s="17" t="s">
        <v>551</v>
      </c>
      <c r="F43" s="17">
        <v>8.9073240756988498E-2</v>
      </c>
      <c r="G43" s="17">
        <v>651.28091907501198</v>
      </c>
      <c r="H43" s="17" t="s">
        <v>552</v>
      </c>
      <c r="I43" s="17">
        <v>3.3406466245651252E-2</v>
      </c>
      <c r="J43" s="17">
        <v>10.321160554885861</v>
      </c>
      <c r="K43" s="17">
        <f>IF('20elementos'!$F43=0,IF('20elementos'!$I43=0,0,"Indefinido"),ABS('20elementos'!$F43-'20elementos'!$I43)/'20elementos'!$F43)</f>
        <v>0.62495508233733765</v>
      </c>
      <c r="L43" s="17">
        <v>1</v>
      </c>
      <c r="M43" s="17">
        <f>'20elementos'!$G43/'20elementos'!$J43</f>
        <v>63.101519990085492</v>
      </c>
    </row>
    <row r="44" spans="1:13" ht="14.25" customHeight="1">
      <c r="A44" s="17" t="s">
        <v>553</v>
      </c>
      <c r="B44" s="17"/>
      <c r="C44" s="17"/>
      <c r="D44" s="17"/>
      <c r="E44" s="17" t="s">
        <v>554</v>
      </c>
      <c r="F44" s="17">
        <v>4.6014785766601597E-2</v>
      </c>
      <c r="G44" s="17">
        <v>661.32926917076099</v>
      </c>
      <c r="H44" s="17" t="s">
        <v>555</v>
      </c>
      <c r="I44" s="17">
        <v>1.491290330886841E-2</v>
      </c>
      <c r="J44" s="17">
        <v>12.78840970993042</v>
      </c>
      <c r="K44" s="17">
        <f>IF('20elementos'!$F44=0,IF('20elementos'!$I44=0,0,"Indefinido"),ABS('20elementos'!$F44-'20elementos'!$I44)/'20elementos'!$F44)</f>
        <v>0.67591062176165828</v>
      </c>
      <c r="L44" s="17">
        <v>1</v>
      </c>
      <c r="M44" s="17">
        <f>'20elementos'!$G44/'20elementos'!$J44</f>
        <v>51.71317498978997</v>
      </c>
    </row>
    <row r="45" spans="1:13" ht="14.25" customHeight="1">
      <c r="A45" s="17" t="s">
        <v>556</v>
      </c>
      <c r="B45" s="17"/>
      <c r="C45" s="17"/>
      <c r="D45" s="17"/>
      <c r="E45" s="17" t="s">
        <v>557</v>
      </c>
      <c r="F45" s="17">
        <v>2.8708577156066899E-3</v>
      </c>
      <c r="G45" s="17">
        <v>815.45593047141995</v>
      </c>
      <c r="H45" s="17" t="s">
        <v>558</v>
      </c>
      <c r="I45" s="17">
        <v>2.870857715606689E-3</v>
      </c>
      <c r="J45" s="17">
        <v>0.51651644706726074</v>
      </c>
      <c r="K45" s="17">
        <f>IF('20elementos'!$F45=0,IF('20elementos'!$I45=0,0,"Indefinido"),ABS('20elementos'!$F45-'20elementos'!$I45)/'20elementos'!$F45)</f>
        <v>3.021263412927821E-16</v>
      </c>
      <c r="L45" s="17">
        <v>1</v>
      </c>
      <c r="M45" s="17">
        <f>'20elementos'!$G45/'20elementos'!$J45</f>
        <v>1578.7608218509088</v>
      </c>
    </row>
    <row r="46" spans="1:13" ht="14.25" customHeight="1">
      <c r="A46" s="17" t="s">
        <v>559</v>
      </c>
      <c r="B46" s="17"/>
      <c r="C46" s="17"/>
      <c r="D46" s="17"/>
      <c r="E46" s="17" t="s">
        <v>560</v>
      </c>
      <c r="F46" s="17">
        <v>1.12238824367523E-2</v>
      </c>
      <c r="G46" s="17">
        <v>621.00278925895702</v>
      </c>
      <c r="H46" s="17" t="s">
        <v>561</v>
      </c>
      <c r="I46" s="17">
        <v>5.5141746997833252E-3</v>
      </c>
      <c r="J46" s="17">
        <v>0.53618383407592773</v>
      </c>
      <c r="K46" s="17">
        <f>IF('20elementos'!$F46=0,IF('20elementos'!$I46=0,0,"Indefinido"),ABS('20elementos'!$F46-'20elementos'!$I46)/'20elementos'!$F46)</f>
        <v>0.50871057935110675</v>
      </c>
      <c r="L46" s="17">
        <v>1</v>
      </c>
      <c r="M46" s="17">
        <f>'20elementos'!$G46/'20elementos'!$J46</f>
        <v>1158.1900642886937</v>
      </c>
    </row>
    <row r="47" spans="1:13" ht="14.25" customHeight="1">
      <c r="A47" s="17" t="s">
        <v>562</v>
      </c>
      <c r="B47" s="17"/>
      <c r="C47" s="17"/>
      <c r="D47" s="17"/>
      <c r="E47" s="17" t="s">
        <v>563</v>
      </c>
      <c r="F47" s="17">
        <v>8.9113712310790998E-3</v>
      </c>
      <c r="G47" s="17">
        <v>814.09269857406605</v>
      </c>
      <c r="H47" s="17" t="s">
        <v>564</v>
      </c>
      <c r="I47" s="17">
        <v>2.870857715606689E-3</v>
      </c>
      <c r="J47" s="17">
        <v>0.48036623001098627</v>
      </c>
      <c r="K47" s="17">
        <f>IF('20elementos'!$F47=0,IF('20elementos'!$I47=0,0,"Indefinido"),ABS('20elementos'!$F47-'20elementos'!$I47)/'20elementos'!$F47)</f>
        <v>0.6778433261096396</v>
      </c>
      <c r="L47" s="17">
        <v>1</v>
      </c>
      <c r="M47" s="17">
        <f>'20elementos'!$G47/'20elementos'!$J47</f>
        <v>1694.7334090396971</v>
      </c>
    </row>
    <row r="48" spans="1:13" ht="14.25" customHeight="1">
      <c r="A48" s="17" t="s">
        <v>565</v>
      </c>
      <c r="B48" s="17"/>
      <c r="C48" s="17"/>
      <c r="D48" s="17"/>
      <c r="E48" s="17" t="s">
        <v>567</v>
      </c>
      <c r="F48" s="17">
        <v>1.3498067855835E-3</v>
      </c>
      <c r="G48" s="17">
        <v>818.20952296256996</v>
      </c>
      <c r="H48" s="17" t="s">
        <v>568</v>
      </c>
      <c r="I48" s="17">
        <v>1.3498067855834961E-3</v>
      </c>
      <c r="J48" s="17">
        <v>0.1009998321533203</v>
      </c>
      <c r="K48" s="17">
        <f>IF('20elementos'!$F48=0,IF('20elementos'!$I48=0,0,"Indefinido"),ABS('20elementos'!$F48-'20elementos'!$I48)/'20elementos'!$F48)</f>
        <v>2.8916196470745668E-15</v>
      </c>
      <c r="L48" s="17">
        <v>1</v>
      </c>
      <c r="M48" s="17">
        <f>'20elementos'!$G48/'20elementos'!$J48</f>
        <v>8101.0978485638198</v>
      </c>
    </row>
    <row r="49" spans="1:13" ht="14.25" customHeight="1">
      <c r="A49" s="17" t="s">
        <v>569</v>
      </c>
      <c r="B49" s="17"/>
      <c r="C49" s="17"/>
      <c r="D49" s="17"/>
      <c r="E49" s="17" t="s">
        <v>566</v>
      </c>
      <c r="F49" s="17">
        <v>9.45806503295898E-4</v>
      </c>
      <c r="G49" s="17">
        <v>806.786789894104</v>
      </c>
      <c r="H49" s="17" t="s">
        <v>570</v>
      </c>
      <c r="I49" s="17">
        <v>5.4436922073364258E-4</v>
      </c>
      <c r="J49" s="17">
        <v>4.9516201019287109E-2</v>
      </c>
      <c r="K49" s="17">
        <f>IF('20elementos'!$F49=0,IF('20elementos'!$I49=0,0,"Indefinido"),ABS('20elementos'!$F49-'20elementos'!$I49)/'20elementos'!$F49)</f>
        <v>0.42443912276279278</v>
      </c>
      <c r="L49" s="17">
        <v>1</v>
      </c>
      <c r="M49" s="17">
        <f>'20elementos'!$G49/'20elementos'!$J49</f>
        <v>16293.39031037239</v>
      </c>
    </row>
    <row r="50" spans="1:13" ht="14.25" customHeight="1">
      <c r="A50" s="17" t="s">
        <v>571</v>
      </c>
      <c r="B50" s="17"/>
      <c r="C50" s="17"/>
      <c r="D50" s="17"/>
      <c r="E50" s="17" t="s">
        <v>572</v>
      </c>
      <c r="F50" s="17">
        <v>3.6116242408752398E-3</v>
      </c>
      <c r="G50" s="17">
        <v>622.39597272872902</v>
      </c>
      <c r="H50" s="17" t="s">
        <v>573</v>
      </c>
      <c r="I50" s="17">
        <v>2.21213698387146E-3</v>
      </c>
      <c r="J50" s="17">
        <v>1.0663855075836179</v>
      </c>
      <c r="K50" s="17">
        <f>IF('20elementos'!$F50=0,IF('20elementos'!$I50=0,0,"Indefinido"),ABS('20elementos'!$F50-'20elementos'!$I50)/'20elementos'!$F50)</f>
        <v>0.38749525522750078</v>
      </c>
      <c r="L50" s="17">
        <v>1</v>
      </c>
      <c r="M50" s="17">
        <f>'20elementos'!$G50/'20elementos'!$J50</f>
        <v>583.65006679343435</v>
      </c>
    </row>
    <row r="51" spans="1:13" ht="14.25" customHeight="1">
      <c r="A51" s="17" t="s">
        <v>574</v>
      </c>
      <c r="B51" s="17"/>
      <c r="C51" s="17"/>
      <c r="D51" s="17"/>
      <c r="E51" s="17" t="s">
        <v>575</v>
      </c>
      <c r="F51" s="17">
        <v>2.8255581855773899E-4</v>
      </c>
      <c r="G51" s="17">
        <v>620.20202326774597</v>
      </c>
      <c r="H51" s="17" t="s">
        <v>576</v>
      </c>
      <c r="I51" s="17">
        <v>2.8255581855773931E-4</v>
      </c>
      <c r="J51" s="17">
        <v>4.5998334884643548E-2</v>
      </c>
      <c r="K51" s="17">
        <f>IF('20elementos'!$F51=0,IF('20elementos'!$I51=0,0,"Indefinido"),ABS('20elementos'!$F51-'20elementos'!$I51)/'20elementos'!$F51)</f>
        <v>1.1511376881420894E-15</v>
      </c>
      <c r="L51" s="17">
        <v>1</v>
      </c>
      <c r="M51" s="17">
        <f>'20elementos'!$G51/'20elementos'!$J51</f>
        <v>13483.140744618544</v>
      </c>
    </row>
    <row r="52" spans="1:13" ht="14.25" customHeight="1">
      <c r="A52" s="17" t="s">
        <v>577</v>
      </c>
      <c r="B52" s="17"/>
      <c r="C52" s="17"/>
      <c r="D52" s="17"/>
      <c r="E52" s="17" t="s">
        <v>578</v>
      </c>
      <c r="F52" s="17">
        <v>1.3498067855835E-3</v>
      </c>
      <c r="G52" s="17">
        <v>618.36519503593399</v>
      </c>
      <c r="H52" s="17" t="s">
        <v>579</v>
      </c>
      <c r="I52" s="17">
        <v>1.3498067855834961E-3</v>
      </c>
      <c r="J52" s="17">
        <v>0.67058825492858887</v>
      </c>
      <c r="K52" s="17">
        <f>IF('20elementos'!$F52=0,IF('20elementos'!$I52=0,0,"Indefinido"),ABS('20elementos'!$F52-'20elementos'!$I52)/'20elementos'!$F52)</f>
        <v>2.8916196470745668E-15</v>
      </c>
      <c r="L52" s="17">
        <v>1</v>
      </c>
      <c r="M52" s="17">
        <f>'20elementos'!$G52/'20elementos'!$J52</f>
        <v>922.1235094578027</v>
      </c>
    </row>
    <row r="53" spans="1:13" ht="14.25" customHeight="1">
      <c r="A53" s="17" t="s">
        <v>580</v>
      </c>
      <c r="B53" s="17"/>
      <c r="C53" s="17"/>
      <c r="D53" s="17"/>
      <c r="E53" s="17" t="s">
        <v>581</v>
      </c>
      <c r="F53" s="17">
        <v>5.4436922073364301E-4</v>
      </c>
      <c r="G53" s="17">
        <v>812.31194353103604</v>
      </c>
      <c r="H53" s="17" t="s">
        <v>582</v>
      </c>
      <c r="I53" s="17">
        <v>5.4436922073364258E-4</v>
      </c>
      <c r="J53" s="17">
        <v>5.8000087738037109E-2</v>
      </c>
      <c r="K53" s="19">
        <f>IF('20elementos'!$F53=0,IF('20elementos'!$I53=0,0,"Indefinido"),ABS('20elementos'!$F53-'20elementos'!$I53)/'20elementos'!$F53)</f>
        <v>7.9666677041316331E-16</v>
      </c>
      <c r="L53" s="19">
        <v>1</v>
      </c>
      <c r="M53" s="19">
        <f>'20elementos'!$G53/'20elementos'!$J53</f>
        <v>14005.357150491218</v>
      </c>
    </row>
    <row r="54" spans="1:13" ht="14.25" customHeight="1">
      <c r="H54" s="19"/>
      <c r="I54" s="19"/>
      <c r="J54" s="19"/>
      <c r="K54" s="19">
        <f>SUM('20elementos'!$K$4:$K$53)/50</f>
        <v>0.18611436211339755</v>
      </c>
      <c r="L54" s="19">
        <f>SUM('20elementos'!$L$4:$L$53)/50</f>
        <v>1</v>
      </c>
      <c r="M54" s="19">
        <f>SUM('20elementos'!$M$4:$M$53)/50</f>
        <v>1531.8850274142012</v>
      </c>
    </row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D2"/>
    <mergeCell ref="E2:G2"/>
    <mergeCell ref="H2:J2"/>
    <mergeCell ref="K2:L2"/>
  </mergeCells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A3" sqref="A3"/>
    </sheetView>
  </sheetViews>
  <sheetFormatPr baseColWidth="10" defaultColWidth="14.44140625" defaultRowHeight="15" customHeight="1"/>
  <cols>
    <col min="1" max="1" width="63.33203125" customWidth="1"/>
    <col min="2" max="2" width="48.6640625" customWidth="1"/>
    <col min="3" max="3" width="32" customWidth="1"/>
    <col min="4" max="4" width="45.5546875" customWidth="1"/>
    <col min="5" max="26" width="10.6640625" customWidth="1"/>
  </cols>
  <sheetData>
    <row r="1" spans="1:4" ht="24.6" customHeight="1">
      <c r="A1" s="34" t="s">
        <v>594</v>
      </c>
      <c r="B1" s="62" t="s">
        <v>624</v>
      </c>
      <c r="C1" s="50"/>
      <c r="D1" s="51"/>
    </row>
    <row r="2" spans="1:4" ht="14.25" customHeight="1">
      <c r="A2" s="36" t="s">
        <v>627</v>
      </c>
      <c r="B2" s="23" t="s">
        <v>7</v>
      </c>
      <c r="C2" s="23" t="s">
        <v>8</v>
      </c>
      <c r="D2" s="24" t="s">
        <v>163</v>
      </c>
    </row>
    <row r="3" spans="1:4" ht="14.25" customHeight="1">
      <c r="A3" s="41" t="s">
        <v>595</v>
      </c>
      <c r="B3" s="42" t="s">
        <v>596</v>
      </c>
      <c r="C3" s="42">
        <v>7.1581304073333697E-3</v>
      </c>
      <c r="D3" s="42">
        <v>671.00122261047397</v>
      </c>
    </row>
    <row r="4" spans="1:4" ht="14.25" customHeight="1">
      <c r="A4" s="41" t="s">
        <v>597</v>
      </c>
      <c r="B4" s="42" t="s">
        <v>598</v>
      </c>
      <c r="C4" s="42">
        <v>1.1604577302932699E-2</v>
      </c>
      <c r="D4" s="42">
        <v>41.186710119247401</v>
      </c>
    </row>
    <row r="5" spans="1:4" ht="14.25" customHeight="1">
      <c r="A5" s="41" t="s">
        <v>599</v>
      </c>
      <c r="B5" s="42" t="s">
        <v>600</v>
      </c>
      <c r="C5" s="42">
        <v>1.26290321350098E-3</v>
      </c>
      <c r="D5" s="42">
        <v>45.929432153701804</v>
      </c>
    </row>
    <row r="6" spans="1:4" ht="14.25" customHeight="1">
      <c r="A6" s="41" t="s">
        <v>601</v>
      </c>
      <c r="B6" s="42" t="s">
        <v>602</v>
      </c>
      <c r="C6" s="42">
        <v>1.17051601409912E-3</v>
      </c>
      <c r="D6" s="42">
        <v>1.7192199230194101</v>
      </c>
    </row>
    <row r="7" spans="1:4" ht="14.25" customHeight="1">
      <c r="A7" s="41" t="s">
        <v>603</v>
      </c>
      <c r="B7" s="42" t="s">
        <v>604</v>
      </c>
      <c r="C7" s="42">
        <v>1.69146060943603E-3</v>
      </c>
      <c r="D7" s="42">
        <v>39.444758892059298</v>
      </c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A3" sqref="A3"/>
    </sheetView>
  </sheetViews>
  <sheetFormatPr baseColWidth="10" defaultColWidth="14.44140625" defaultRowHeight="15" customHeight="1"/>
  <cols>
    <col min="1" max="1" width="57.88671875" customWidth="1"/>
    <col min="2" max="2" width="37.109375" customWidth="1"/>
    <col min="3" max="3" width="31.33203125" customWidth="1"/>
    <col min="4" max="4" width="44.6640625" customWidth="1"/>
    <col min="5" max="26" width="10.6640625" customWidth="1"/>
  </cols>
  <sheetData>
    <row r="1" spans="1:4" ht="23.4" customHeight="1">
      <c r="A1" s="34" t="s">
        <v>583</v>
      </c>
      <c r="B1" s="62" t="s">
        <v>624</v>
      </c>
      <c r="C1" s="50"/>
      <c r="D1" s="51"/>
    </row>
    <row r="2" spans="1:4" ht="14.25" customHeight="1">
      <c r="A2" s="36" t="s">
        <v>3</v>
      </c>
      <c r="B2" s="23" t="s">
        <v>7</v>
      </c>
      <c r="C2" s="23" t="s">
        <v>8</v>
      </c>
      <c r="D2" s="24" t="s">
        <v>163</v>
      </c>
    </row>
    <row r="3" spans="1:4" ht="14.25" customHeight="1">
      <c r="A3" s="41" t="s">
        <v>584</v>
      </c>
      <c r="B3" s="42" t="s">
        <v>585</v>
      </c>
      <c r="C3" s="42">
        <v>0.49959999999999999</v>
      </c>
      <c r="D3" s="42">
        <v>73.520799999999994</v>
      </c>
    </row>
    <row r="4" spans="1:4" ht="14.25" customHeight="1">
      <c r="A4" s="41" t="s">
        <v>586</v>
      </c>
      <c r="B4" s="42" t="s">
        <v>587</v>
      </c>
      <c r="C4" s="42">
        <v>3.1066656112670898E-2</v>
      </c>
      <c r="D4" s="42">
        <v>42.601956367492697</v>
      </c>
    </row>
    <row r="5" spans="1:4" ht="14.25" customHeight="1">
      <c r="A5" s="41" t="s">
        <v>588</v>
      </c>
      <c r="B5" s="42" t="s">
        <v>589</v>
      </c>
      <c r="C5" s="42">
        <v>6.5803527832031196E-5</v>
      </c>
      <c r="D5" s="42">
        <v>91.065937280654893</v>
      </c>
    </row>
    <row r="6" spans="1:4" ht="14.25" customHeight="1">
      <c r="A6" s="41" t="s">
        <v>590</v>
      </c>
      <c r="B6" s="42" t="s">
        <v>591</v>
      </c>
      <c r="C6" s="42">
        <v>3.2584667205810599E-3</v>
      </c>
      <c r="D6" s="42">
        <v>1.33683156967163</v>
      </c>
    </row>
    <row r="7" spans="1:4" ht="14.25" customHeight="1">
      <c r="A7" s="41" t="s">
        <v>592</v>
      </c>
      <c r="B7" s="42" t="s">
        <v>593</v>
      </c>
      <c r="C7" s="42">
        <v>1.0728836059570299E-3</v>
      </c>
      <c r="D7" s="42">
        <v>1.5776553153991699</v>
      </c>
    </row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activeCell="A3" sqref="A3"/>
    </sheetView>
  </sheetViews>
  <sheetFormatPr baseColWidth="10" defaultColWidth="14.44140625" defaultRowHeight="15" customHeight="1"/>
  <cols>
    <col min="1" max="1" width="57.33203125" customWidth="1"/>
    <col min="2" max="2" width="64" customWidth="1"/>
    <col min="3" max="3" width="17" customWidth="1"/>
    <col min="4" max="4" width="24.6640625" customWidth="1"/>
    <col min="5" max="26" width="10.6640625" customWidth="1"/>
  </cols>
  <sheetData>
    <row r="1" spans="1:4" ht="22.2" customHeight="1">
      <c r="A1" s="34" t="s">
        <v>605</v>
      </c>
      <c r="B1" s="62" t="s">
        <v>624</v>
      </c>
      <c r="C1" s="50"/>
      <c r="D1" s="51"/>
    </row>
    <row r="2" spans="1:4" ht="14.25" customHeight="1">
      <c r="A2" s="36" t="s">
        <v>3</v>
      </c>
      <c r="B2" s="23" t="s">
        <v>7</v>
      </c>
      <c r="C2" s="23" t="s">
        <v>8</v>
      </c>
      <c r="D2" s="24" t="s">
        <v>163</v>
      </c>
    </row>
    <row r="3" spans="1:4" ht="14.25" customHeight="1">
      <c r="A3" s="43" t="s">
        <v>606</v>
      </c>
      <c r="B3" s="43" t="s">
        <v>607</v>
      </c>
      <c r="C3" s="44">
        <v>7.3594150000000002E-3</v>
      </c>
      <c r="D3" s="44">
        <v>63.920472150000002</v>
      </c>
    </row>
    <row r="4" spans="1:4" ht="14.25" customHeight="1">
      <c r="A4" s="43" t="s">
        <v>608</v>
      </c>
      <c r="B4" s="43" t="s">
        <v>609</v>
      </c>
      <c r="C4" s="44">
        <v>4.6463010000000003E-3</v>
      </c>
      <c r="D4" s="44">
        <v>29.637889619999999</v>
      </c>
    </row>
    <row r="5" spans="1:4" ht="14.25" customHeight="1">
      <c r="A5" s="43" t="s">
        <v>610</v>
      </c>
      <c r="B5" s="43" t="s">
        <v>611</v>
      </c>
      <c r="C5" s="44">
        <v>1.3599544999999999E-2</v>
      </c>
      <c r="D5" s="44">
        <v>28.617422340000001</v>
      </c>
    </row>
    <row r="6" spans="1:4" ht="14.25" customHeight="1">
      <c r="A6" s="43" t="s">
        <v>612</v>
      </c>
      <c r="B6" s="43" t="s">
        <v>613</v>
      </c>
      <c r="C6" s="44">
        <v>7.3594150000000002E-3</v>
      </c>
      <c r="D6" s="44">
        <v>63.250308750000002</v>
      </c>
    </row>
    <row r="7" spans="1:4" ht="14.25" customHeight="1">
      <c r="A7" s="43" t="s">
        <v>614</v>
      </c>
      <c r="B7" s="43" t="s">
        <v>615</v>
      </c>
      <c r="C7" s="44">
        <v>7.3594150000000002E-3</v>
      </c>
      <c r="D7" s="44">
        <v>65.765777110000002</v>
      </c>
    </row>
    <row r="8" spans="1:4" ht="14.25" customHeight="1">
      <c r="A8" s="43" t="s">
        <v>616</v>
      </c>
      <c r="B8" s="43" t="s">
        <v>617</v>
      </c>
      <c r="C8" s="44">
        <v>1.2158245E-2</v>
      </c>
      <c r="D8" s="44">
        <v>13.661029340000001</v>
      </c>
    </row>
    <row r="9" spans="1:4" ht="14.25" customHeight="1">
      <c r="A9" s="43" t="s">
        <v>618</v>
      </c>
      <c r="B9" s="43" t="s">
        <v>619</v>
      </c>
      <c r="C9" s="44">
        <v>4.8490169999999997E-3</v>
      </c>
      <c r="D9" s="44">
        <v>13.92810321</v>
      </c>
    </row>
    <row r="10" spans="1:4" ht="14.25" customHeight="1">
      <c r="A10" s="43" t="s">
        <v>620</v>
      </c>
      <c r="B10" s="43" t="s">
        <v>621</v>
      </c>
      <c r="C10" s="44">
        <v>1.3599544999999999E-2</v>
      </c>
      <c r="D10" s="44">
        <v>28.42180347</v>
      </c>
    </row>
    <row r="11" spans="1:4" ht="14.25" customHeight="1">
      <c r="A11" s="43" t="s">
        <v>622</v>
      </c>
      <c r="B11" s="43" t="s">
        <v>623</v>
      </c>
      <c r="C11" s="44">
        <v>1.2158245E-2</v>
      </c>
      <c r="D11" s="44">
        <v>13.96307659</v>
      </c>
    </row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10 elementos</vt:lpstr>
      <vt:lpstr>15A elementos</vt:lpstr>
      <vt:lpstr>15B elementos</vt:lpstr>
      <vt:lpstr>20elementos</vt:lpstr>
      <vt:lpstr>21elementos</vt:lpstr>
      <vt:lpstr>22 elementos</vt:lpstr>
      <vt:lpstr>23elementos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Lluz Enith Guerrero Mendieta</cp:lastModifiedBy>
  <dcterms:created xsi:type="dcterms:W3CDTF">2025-06-10T21:30:28Z</dcterms:created>
  <dcterms:modified xsi:type="dcterms:W3CDTF">2025-11-12T04:03:29Z</dcterms:modified>
</cp:coreProperties>
</file>